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PASANTIA\Proyecto_SES\DOCUMENTOS\BD_EXCEL\"/>
    </mc:Choice>
  </mc:AlternateContent>
  <xr:revisionPtr revIDLastSave="0" documentId="13_ncr:1_{AAD4ED22-3BF4-40DE-87F7-430FFA0348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rio Procafecol" sheetId="7" r:id="rId1"/>
    <sheet name="Inventario ISIMO" sheetId="6" r:id="rId2"/>
    <sheet name="Inventario Alsea" sheetId="4" r:id="rId3"/>
    <sheet name="Inventario Arcos Dorados" sheetId="5" r:id="rId4"/>
    <sheet name="Inventario Consolidado" sheetId="1" r:id="rId5"/>
    <sheet name="Consolidado dinamico" sheetId="3" r:id="rId6"/>
  </sheets>
  <definedNames>
    <definedName name="_xlnm._FilterDatabase" localSheetId="2" hidden="1">'Inventario Alsea'!$B$2:$K$2</definedName>
    <definedName name="_xlnm._FilterDatabase" localSheetId="3" hidden="1">'Inventario Arcos Dorados'!$B$2:$N$2</definedName>
    <definedName name="_xlnm._FilterDatabase" localSheetId="4" hidden="1">'Inventario Consolidado'!$B$2:$N$96</definedName>
    <definedName name="_xlnm._FilterDatabase" localSheetId="1" hidden="1">'Inventario ISIMO'!$B$2:$N$35</definedName>
    <definedName name="_xlnm._FilterDatabase" localSheetId="0" hidden="1">'Inventario Procafecol'!$B$2:$M$18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0" i="6" l="1"/>
  <c r="Q27" i="6"/>
  <c r="Q28" i="6"/>
  <c r="Q24" i="6"/>
  <c r="Q25" i="6"/>
  <c r="Q20" i="6"/>
  <c r="J18" i="4"/>
  <c r="M3" i="4"/>
  <c r="J34" i="4" l="1"/>
  <c r="J33" i="4"/>
  <c r="N33" i="4" s="1"/>
  <c r="J32" i="4"/>
  <c r="J31" i="4"/>
  <c r="J30" i="4"/>
  <c r="N30" i="4" s="1"/>
  <c r="J29" i="4"/>
  <c r="N29" i="4" s="1"/>
  <c r="J28" i="4"/>
  <c r="J27" i="4"/>
  <c r="J19" i="4"/>
  <c r="J26" i="4"/>
  <c r="N26" i="4" s="1"/>
  <c r="J21" i="4"/>
  <c r="N21" i="4" s="1"/>
  <c r="J20" i="4"/>
  <c r="N20" i="4" s="1"/>
  <c r="N22" i="4"/>
  <c r="N23" i="4"/>
  <c r="N24" i="4"/>
  <c r="N25" i="4"/>
  <c r="N27" i="4"/>
  <c r="N28" i="4"/>
  <c r="N31" i="4"/>
  <c r="N32" i="4"/>
  <c r="N34" i="4"/>
  <c r="N16" i="4"/>
  <c r="N17" i="4"/>
  <c r="N18" i="4"/>
  <c r="N19" i="4"/>
  <c r="Q35" i="6"/>
  <c r="Q13" i="6"/>
  <c r="Q14" i="6"/>
  <c r="Q15" i="6"/>
  <c r="Q16" i="6"/>
  <c r="Q17" i="6"/>
  <c r="Q18" i="6"/>
  <c r="Q19" i="6"/>
  <c r="Q21" i="6"/>
  <c r="Q22" i="6"/>
  <c r="Q23" i="6"/>
  <c r="Q26" i="6"/>
  <c r="Q29" i="6"/>
  <c r="Q31" i="6"/>
  <c r="Q32" i="6"/>
  <c r="Q33" i="6"/>
  <c r="Q34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Q5" i="6"/>
  <c r="Q6" i="6"/>
  <c r="Q7" i="6"/>
  <c r="Q8" i="6"/>
  <c r="Q9" i="6"/>
  <c r="Q10" i="6"/>
  <c r="Q11" i="6"/>
  <c r="Q12" i="6"/>
  <c r="Q4" i="6"/>
  <c r="Q3" i="6"/>
  <c r="P17" i="7"/>
  <c r="P16" i="7"/>
  <c r="P15" i="7"/>
  <c r="P14" i="7"/>
  <c r="P13" i="7"/>
  <c r="P12" i="7"/>
  <c r="P11" i="7"/>
  <c r="P10" i="7"/>
  <c r="P8" i="7"/>
  <c r="P7" i="7"/>
  <c r="P6" i="7"/>
  <c r="P5" i="7"/>
  <c r="P4" i="7"/>
  <c r="O18" i="7"/>
  <c r="P18" i="7" s="1"/>
  <c r="O13" i="7"/>
  <c r="O11" i="7"/>
  <c r="P9" i="7"/>
  <c r="O7" i="7"/>
  <c r="P3" i="7"/>
</calcChain>
</file>

<file path=xl/sharedStrings.xml><?xml version="1.0" encoding="utf-8"?>
<sst xmlns="http://schemas.openxmlformats.org/spreadsheetml/2006/main" count="1518" uniqueCount="230">
  <si>
    <t>SES</t>
  </si>
  <si>
    <t>COMERCIAL</t>
  </si>
  <si>
    <t>SISTEMA</t>
  </si>
  <si>
    <t>CORPORATIVO</t>
  </si>
  <si>
    <t>SECURITAS</t>
  </si>
  <si>
    <t>CECO COMPRA</t>
  </si>
  <si>
    <t>CÓDIGO</t>
  </si>
  <si>
    <t>ITEM</t>
  </si>
  <si>
    <t>MARCA</t>
  </si>
  <si>
    <t>REFERENCIA</t>
  </si>
  <si>
    <t>COMPRA MÁXIMA</t>
  </si>
  <si>
    <t>PUNTO DE RECOMPRA</t>
  </si>
  <si>
    <t>SALIDA DE EQUIPOS</t>
  </si>
  <si>
    <t xml:space="preserve">STOCK ACTUAL </t>
  </si>
  <si>
    <t>SOLICITUD DE COMPRA</t>
  </si>
  <si>
    <t>Columna1</t>
  </si>
  <si>
    <t>Monitoreo</t>
  </si>
  <si>
    <t>Nikol Reyes</t>
  </si>
  <si>
    <t>CCTV</t>
  </si>
  <si>
    <t>Procafecol</t>
  </si>
  <si>
    <t>Electronic</t>
  </si>
  <si>
    <t xml:space="preserve">HANWHA 8 CH NVR WITH 8 POE PORTS (POE BUDGET 65W) WITH 8MP CAMERA SUPPORT. (QRN-830S)     </t>
  </si>
  <si>
    <t>HANWHA</t>
  </si>
  <si>
    <t>QRN830S</t>
  </si>
  <si>
    <t xml:space="preserve">HANWHA 16CH NVR WITH 16 POE PORTS (POE BUDGET 130W) WITH 8MP CAMERA SUPPORT. (QRN-1630S)                                                                                                                </t>
  </si>
  <si>
    <t>QRN1630S</t>
  </si>
  <si>
    <t xml:space="preserve">HANWHA CÁMARA IP TIPO DOMO ANTIVANDÁLICO 2 MEGAPÍXELES / LENTE 2.8MM / IR 30M / WDR 120DB / IP66 / IK10 / H.265 &amp; WISESTREAM                                                                            </t>
  </si>
  <si>
    <t>ANV-L6012R</t>
  </si>
  <si>
    <t xml:space="preserve">HANWHA  ANO-L7082R CÁMARA BALA IR DE 4 MP, LENTE VARIFOCAL DE 3,3-10,3 MM, 30 M IR, IP66, BLANCA                                                                                                        </t>
  </si>
  <si>
    <t>ANO-L7082R</t>
  </si>
  <si>
    <t xml:space="preserve">WESTERN DIGITAL DISCO DURO 4 TB SATA 3 64MB                                                                                                                                                             </t>
  </si>
  <si>
    <t>WESTERN DIGITAL</t>
  </si>
  <si>
    <t>WD4T</t>
  </si>
  <si>
    <t>Mtto</t>
  </si>
  <si>
    <t>Mayerli Forero</t>
  </si>
  <si>
    <t>ALARMA</t>
  </si>
  <si>
    <t xml:space="preserve">KIT OPERADOR REMOTO PROGRAMABLE CON 2 CONTROLES INALAMBRICO – 2 SALIDAS DE RELEVO UHF BY ZKTECO                                                                                                         </t>
  </si>
  <si>
    <t>UHF</t>
  </si>
  <si>
    <t>UHF-OPR2</t>
  </si>
  <si>
    <t xml:space="preserve">LYNX BATERIA 12 VOLTIOS 7 AMPERIOS                                                                                                                                                                      </t>
  </si>
  <si>
    <t>Lynx</t>
  </si>
  <si>
    <t>LY-12V7AH</t>
  </si>
  <si>
    <t xml:space="preserve">BATERIA PARA SENSOR INALAMBRICO (CR-2032)                                                                                                                                                               </t>
  </si>
  <si>
    <t>Generico</t>
  </si>
  <si>
    <t>CR-2032</t>
  </si>
  <si>
    <t>Sofia</t>
  </si>
  <si>
    <t>BATERIA PARA SENSOR INALAMBRICO (CR-123)</t>
  </si>
  <si>
    <t>CR123</t>
  </si>
  <si>
    <t xml:space="preserve">GENERICO PILA DE LITIO 3V (CR2450)                                                                                                                                                                      </t>
  </si>
  <si>
    <t>CR2450</t>
  </si>
  <si>
    <t xml:space="preserve">GENERICA PILA ALCALINA AAA                                                                                                                                                                              </t>
  </si>
  <si>
    <t>GENERICO</t>
  </si>
  <si>
    <t xml:space="preserve">Sofia </t>
  </si>
  <si>
    <t>N/A</t>
  </si>
  <si>
    <t>SECO COMPRA</t>
  </si>
  <si>
    <t>CANTIDAD EN ALMACÉN</t>
  </si>
  <si>
    <t>STOCK</t>
  </si>
  <si>
    <t>STOCK ACTUAL</t>
  </si>
  <si>
    <t>ISIMO [Comodato]</t>
  </si>
  <si>
    <t>Colombia</t>
  </si>
  <si>
    <t>PANEL PRINCIPAL NEO HS2032 (8-32 ZONAS)</t>
  </si>
  <si>
    <t>DSC</t>
  </si>
  <si>
    <t>HS2032PCBSPA</t>
  </si>
  <si>
    <t>TECLADO DE ICONOS FIJOS CABLEADO, ADMITE MAXIMO 128 ZONAS,</t>
  </si>
  <si>
    <t xml:space="preserve">	HS2ICN</t>
  </si>
  <si>
    <t>GABINETE METALICO GRANDE (CAJA ALARMA GRANDE)</t>
  </si>
  <si>
    <t>GAB-GRA</t>
  </si>
  <si>
    <t>DETECTOR PIR DIGITAL, 15MT, 100°, INMUNIDAD MASCOTAS 15KG,</t>
  </si>
  <si>
    <t>LC-200</t>
  </si>
  <si>
    <t>BATERIA ESTACIONARIA 7 AMP 12V</t>
  </si>
  <si>
    <t>UHF-712</t>
  </si>
  <si>
    <t>TRANSFORMADOR 16.5V/40VA</t>
  </si>
  <si>
    <t>UHF-AC1640</t>
  </si>
  <si>
    <t xml:space="preserve">UHF-30W SIRENA 30W DOBLE TONO                                                                                                                                                                           </t>
  </si>
  <si>
    <t>UHF-30W</t>
  </si>
  <si>
    <t>CONTACTO MAGNETICO LIVIANO NC BLANCO</t>
  </si>
  <si>
    <t>UHF-MC200</t>
  </si>
  <si>
    <t xml:space="preserve">BOTON EMERGENCIA </t>
  </si>
  <si>
    <t>UHF-PA075</t>
  </si>
  <si>
    <t>KIT COMUNICADOR LX30AUC + ANTENA ANT LTE SMA</t>
  </si>
  <si>
    <t>EBS</t>
  </si>
  <si>
    <t>KIT-LX30AUC</t>
  </si>
  <si>
    <t>ISIMO [Venta]</t>
  </si>
  <si>
    <t>MODULO EXPANSOR DE 8 ZONAS CABLEADAS PARA NEO</t>
  </si>
  <si>
    <t>HSM2108</t>
  </si>
  <si>
    <t>DETECTOR DE HUMO 4 HILOS CABLEADO</t>
  </si>
  <si>
    <t>UHF-DH4</t>
  </si>
  <si>
    <t>SENSOR DE VIBRACION DE CHOQUE RELEVO</t>
  </si>
  <si>
    <t>SECOLARM</t>
  </si>
  <si>
    <t>SS-040Q/W</t>
  </si>
  <si>
    <t xml:space="preserve">CONTACTO MAGNETICO PESADO </t>
  </si>
  <si>
    <t>UHF-MCP</t>
  </si>
  <si>
    <t xml:space="preserve">DETECTOR DE MOVIMIENTO DOBLE TECNOLOGIA CON ANTIENMASCARAMIENTO </t>
  </si>
  <si>
    <t>LC-203</t>
  </si>
  <si>
    <t>TAMPER SWITCH PARA GABINETE</t>
  </si>
  <si>
    <t>SS072Q</t>
  </si>
  <si>
    <t>KIT OPERADOR REMOTO PROGRAMABLE CON 2 CONTROLES</t>
  </si>
  <si>
    <t>LYNX</t>
  </si>
  <si>
    <t>LY-OR1-V1</t>
  </si>
  <si>
    <t>OPERADOR REMOTO DOS CONTROLES - 4 SALIDAS V1</t>
  </si>
  <si>
    <t>HF-OPR2</t>
  </si>
  <si>
    <t>BOTON EMERGENCIA ANTIPANICO</t>
  </si>
  <si>
    <t>DETECTOR DE HUMO FOTOELÉCTRICO CON DETECTOR DE TEMPERATURA HONEYWELL</t>
  </si>
  <si>
    <t>HONEYWELL</t>
  </si>
  <si>
    <t>DVR 1080P Lite Pentahibrido / 8 Canales TURBOHD + 2 Canales IP / H.264+ / 1 Bahía de Disco Duro</t>
  </si>
  <si>
    <t>HIKVISION</t>
  </si>
  <si>
    <t>DS7208HGHIM1©</t>
  </si>
  <si>
    <t>DVR 2MP Lite / 16 Canales TVI / AHD / CVI / CVBS + 2 Canales IP / 1 HDD / H.265+</t>
  </si>
  <si>
    <t>DS7216HGHIM1</t>
  </si>
  <si>
    <t>DVR 4 Canales TurboHD + 1 Canal IP / 2 Megapixel (1080p) Lite</t>
  </si>
  <si>
    <t>DS-7204HGHI-M1/T</t>
  </si>
  <si>
    <t>DISCO DURO 2TB WESTERN DIGITAL PURPLE WD23PURZ
RPM5400 3.5” SATA3 - WD BY HIKVISION</t>
  </si>
  <si>
    <t>HIK2TB-WD23PURZ</t>
  </si>
  <si>
    <t>DISCO DURO 4TB SERIE PURPLE SATA 3.5 - 24/7</t>
  </si>
  <si>
    <t xml:space="preserve">WD42PURZ	</t>
  </si>
  <si>
    <t>DISCO DURO DE 1TB SERIE PURPLE SATA 3.5 - 24/7</t>
  </si>
  <si>
    <t>1TB- WD10PUR</t>
  </si>
  <si>
    <t>Turret TURBOHD 1080p / Lente 2.8 mm / EXIR Inteligente 25 mts / Exterior / TVI-AHD-CVI-CVBS</t>
  </si>
  <si>
    <t>DS-2CE56D0T-IRMF©</t>
  </si>
  <si>
    <t>Bala TURBOHD 1080p / Gran Apertura / Lente 2.8 mm / 20 mts Smart IR / Exterior IP66 / TVI / AHD / CVI / CVBS</t>
  </si>
  <si>
    <t>DS-2CE16D0TIRPF</t>
  </si>
  <si>
    <t>VIDEOBALLUM TURBOHD 1080</t>
  </si>
  <si>
    <t>UHF-VBHD</t>
  </si>
  <si>
    <t>PLUG MACHO TIPO JACK</t>
  </si>
  <si>
    <t>UHF-CM</t>
  </si>
  <si>
    <t>PLUG HEMBRA TIPO JACK</t>
  </si>
  <si>
    <t>UHF-CH</t>
  </si>
  <si>
    <t>FUENTE/ADAPTADOR DE 12V 2 AMP CON LUZ LED</t>
  </si>
  <si>
    <t>UHF-F12V2AH</t>
  </si>
  <si>
    <t>DOMO TURBOHD 2 MPX HIBRIDA B/N - COLOR VU / IR 20 MTS / LENTE 2.8 MM / LUZ BLANCA 20 MTS / EXTERIOR IP67 / MICROFONO INTEGRADO</t>
  </si>
  <si>
    <t>DS2CE76D0TLPF</t>
  </si>
  <si>
    <t>Alsea</t>
  </si>
  <si>
    <t xml:space="preserve">UHF BATERIA ESTACIONARIA 7 AMP 12V                                                                                                                                                                      </t>
  </si>
  <si>
    <t xml:space="preserve">DAHUA XVR1B08-I-V2 / XVR 8CH + 2CH IP GRABACION HASTA 1080N HDMI 1 E/S RCA 1 SATA H.265+ AI CODING SMDPLUS                                                                                              </t>
  </si>
  <si>
    <t>Dahua</t>
  </si>
  <si>
    <t>XVR1B08-I</t>
  </si>
  <si>
    <t xml:space="preserve">DAHUA XVR DE 16 CANALES 1DD X 6TB                                                                                                                                                                       </t>
  </si>
  <si>
    <t>XVR1B16-I</t>
  </si>
  <si>
    <t xml:space="preserve">DAHUA CAMARA DOMO IP 2MP, LENTE 2.8MM, CON AUDIO,  SMART DUAL LIGHT FULL COLOR, IR LED 30M, DWDR,                                                                                                       </t>
  </si>
  <si>
    <t>IPC-HDW1239T1</t>
  </si>
  <si>
    <t xml:space="preserve">CAMARA BALA 2MP IP, D/N REAL, IR LED 30M, LENTE 2.8MM, IP67, POE                                                                                                                                        </t>
  </si>
  <si>
    <t>IPC-HFW1239S1</t>
  </si>
  <si>
    <t>70769 - 2</t>
  </si>
  <si>
    <t xml:space="preserve">FUENTE DE ALIMENTACION CAMARAS 12V 3 AMP 12036E                                                                                                                                                         </t>
  </si>
  <si>
    <t xml:space="preserve">FUENTE DE ALIMENTACION CAMARAS 12V 2AMP                                                                                                                                                                 </t>
  </si>
  <si>
    <t xml:space="preserve">GENERICO VIDEO BALUM PASIVO TIPO CLICK                                                                                                                                                                  </t>
  </si>
  <si>
    <t>Alsea [Renovación]</t>
  </si>
  <si>
    <t>XVR-V2 8CH + 4CH IP GRABACION HASTA 5M-N HDMI 1 E/S RCA 1 SATA H.265+ AI CODING SMDPLUS</t>
  </si>
  <si>
    <t xml:space="preserve">DAHUA </t>
  </si>
  <si>
    <t>DH-XVR1B08H-I-T</t>
  </si>
  <si>
    <t>DISCO DURO 6TB CACHE 256MB 3.5" SATA 5400 RPM 6GB/S</t>
  </si>
  <si>
    <t>WD6PURZ</t>
  </si>
  <si>
    <t>CAMARA 4 EN 1 1/2,7" CMOS 1080P TIPO DOMO PLASTICO LENTE 2,8MM FOV 103° DWDR IR 20M</t>
  </si>
  <si>
    <t>DH-HAC-T1A21N-U-0280B</t>
  </si>
  <si>
    <t>CAMARA 4 EN 1 1/2,7" CMOS 1080P TIPO BALA METALICA 2.8MM FOV 93° DWDR IR 20M IP67</t>
  </si>
  <si>
    <t>DH-HAC-B2A21N-U-0280B</t>
  </si>
  <si>
    <t>TRANSFORMADOR 12V 2 AMPERIOS</t>
  </si>
  <si>
    <t>GEN</t>
  </si>
  <si>
    <t>TRANS12V2</t>
  </si>
  <si>
    <t xml:space="preserve">VIDEO BALLUM  RJ45 </t>
  </si>
  <si>
    <t>VB-BALUM PVA</t>
  </si>
  <si>
    <t>TECLADO LCD ALFANUMÉRICO CON LECTOR DE PROXIMIDAD DE 32 CARACTERES</t>
  </si>
  <si>
    <t>HS2LCDP N</t>
  </si>
  <si>
    <t>BATERIA CARGA SECA 12V-7A</t>
  </si>
  <si>
    <t>TRANSFORMADOR 16.5V/40VA PARA ALARMA</t>
  </si>
  <si>
    <t>DETECTOR PIR DIGITAL, 15MT, 100°, INMUNIDAD MASCOTAS 15KG</t>
  </si>
  <si>
    <t xml:space="preserve">TAMPER </t>
  </si>
  <si>
    <t>LY-T072</t>
  </si>
  <si>
    <t>CONTACTO MAGNETICO PESADO PARA PUERTAS TIPO CORTIN</t>
  </si>
  <si>
    <t>SIRENA 30W DOBLE TONO</t>
  </si>
  <si>
    <t>MODULO EXPANSOR DE 8 ZONAS CABLEADAS</t>
  </si>
  <si>
    <t>TARJETA COMUNICADOR UNIVERSAL LX30B LTE 4G</t>
  </si>
  <si>
    <t>LX30B-Q40T</t>
  </si>
  <si>
    <t>STOC</t>
  </si>
  <si>
    <t>Jose Oviedo</t>
  </si>
  <si>
    <t>Arcos Dorados [Comodato]</t>
  </si>
  <si>
    <t>AMT 8000 LITE. PANEL DE ALARMA, 64 ZONA INALAMBRICAS, INCLUYE SIRENA, FUENTE DE PODER Y COMUNICADOR ETHERNET</t>
  </si>
  <si>
    <t>INTELBRAS</t>
  </si>
  <si>
    <t>AMT 8000 LITE</t>
  </si>
  <si>
    <t>XG 4G. MÓDULO DE COMUNICACIÓN 4G COMPATIBLE CON AMT 1000 SMART Y AMT 2018 E SMART</t>
  </si>
  <si>
    <t>XG 4G</t>
  </si>
  <si>
    <t>XAT 8000 EXP. TECLADO INALAMBRICO, COMPATIBLE CON PANELES SERIE 8000, HASTA 16 TECLADOS, MÁXIMO 600 MTS LINEA DE VISTA O 2000 MTS USANDO REPETIDOR, ALIMENTACIÓN 4 BATERÍAS CR2450 INCLUIDAS</t>
  </si>
  <si>
    <t>XAT 8000 EXP</t>
  </si>
  <si>
    <t>XAC 8000. CONTROL REMOTO NEGRO, ALCANCE DE HASTA 200M LINEA DE VISTA, MÁXIMO 98 CONTROLES POR PANEL, COMPATIBLE CON PANEL AMT 8000</t>
  </si>
  <si>
    <t>XAC 8000</t>
  </si>
  <si>
    <t>PULSADOR ANTIATRACO (EMERGENCY)</t>
  </si>
  <si>
    <t>LY-PA075</t>
  </si>
  <si>
    <t>XAS 8000. SENSOR MAGNETICO INALÁMBRICO, COMPATIBLE CON PANEL AMT 8000</t>
  </si>
  <si>
    <t>XAS 8000</t>
  </si>
  <si>
    <t>IVP 8000 PET. SENSOR PASIVO INALAMBRICO PARA INTERIOR, ANTI MASCOTA DE HASTA 20KG, COMPATIBLE CON PANELES SERIE 8000</t>
  </si>
  <si>
    <t>IVP 8000 PET</t>
  </si>
  <si>
    <t>DFC 421. DETECTOR DE HUMO CONVENCIONAL</t>
  </si>
  <si>
    <t>DFC 421</t>
  </si>
  <si>
    <t>DTC 421. DETECTOR DE TEMPERATURA CONVENCIONAL</t>
  </si>
  <si>
    <t>DTC 421</t>
  </si>
  <si>
    <t>KIT FUENTE GENERAL 2A</t>
  </si>
  <si>
    <t>KIT-FUEN-GEN2</t>
  </si>
  <si>
    <t>TX 8000. TRANSMISOR UNIVERSAL, ENTRADA DE CONTACTO SECO NC PARA SENSORES CABLEADOS, COMPATIBLE CON PANEL AMT 8000</t>
  </si>
  <si>
    <t>TX 8000</t>
  </si>
  <si>
    <t>CONTACTO MAGNETICO PESADO</t>
  </si>
  <si>
    <t>LY-CM226L</t>
  </si>
  <si>
    <t xml:space="preserve">REP 8000. REPETIDOR INALÁMBRICO, MAXIMO 4 POR PANEL, CONEXIÓN INALAMBRICA AL PANEL, EXTIENDE LA SEÑAL INALAMBRICA 600 METROS </t>
  </si>
  <si>
    <t>REP 8000</t>
  </si>
  <si>
    <t>Control de acceso</t>
  </si>
  <si>
    <t>ELECTROIMAN RECTANGULAR 400 LBSL/Z ANTIREMANENTE</t>
  </si>
  <si>
    <t>GSP</t>
  </si>
  <si>
    <t>LY-ELI400F</t>
  </si>
  <si>
    <t>CIERRAPUERTAS AUTO (GATO) PARA PUERTAS DE 80-120KG</t>
  </si>
  <si>
    <t>DC80120</t>
  </si>
  <si>
    <t>XAT 8000 EXP. TECLADO INALAMBRICO</t>
  </si>
  <si>
    <t>PGM 8000. ACTUADOR INALAMBRICO</t>
  </si>
  <si>
    <t>PGM 8000</t>
  </si>
  <si>
    <t>KIT FUENTE GENERAL 2A FUENTE REGULADA DE 6/12/24 VDC, 2A TRANSFORMADOR 16.5 VAC-40VA CAJA METÁLICA PEQUEÑA, 23CM ANCHO X 20CM LARGO X 8CM BATERIA CARGA SECA 12V-4A</t>
  </si>
  <si>
    <t>Comercial</t>
  </si>
  <si>
    <t>Sistema</t>
  </si>
  <si>
    <t>Corporativo</t>
  </si>
  <si>
    <t>Ceco Compra</t>
  </si>
  <si>
    <t>Codigo</t>
  </si>
  <si>
    <t>Item</t>
  </si>
  <si>
    <t>Marca</t>
  </si>
  <si>
    <t>Referencia</t>
  </si>
  <si>
    <t>Cantidad en Almacén</t>
  </si>
  <si>
    <t>Stock</t>
  </si>
  <si>
    <t>Punto de recompra</t>
  </si>
  <si>
    <t>Mayerly Forero</t>
  </si>
  <si>
    <t>(Todas)</t>
  </si>
  <si>
    <t>Stock Inventarios Corporativos</t>
  </si>
  <si>
    <t>Suma de Stock</t>
  </si>
  <si>
    <t>Suma de Punto de recompra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</si>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</sst>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Securitas Pro Office"/>
    </font>
    <font>
      <b/>
      <sz val="10"/>
      <color rgb="FF000000"/>
      <name val="Securitas Pro Office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9E1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8EA9DB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1" applyFill="0" applyAlignment="0">
      <alignment horizontal="center"/>
    </xf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5" fillId="7" borderId="10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5" borderId="8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6" fillId="0" borderId="8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left" indent="2"/>
    </xf>
    <xf numFmtId="0" fontId="6" fillId="0" borderId="1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9" fillId="0" borderId="0" xfId="0" applyFont="1"/>
    <xf numFmtId="0" fontId="0" fillId="0" borderId="0" xfId="0" applyNumberFormat="1"/>
  </cellXfs>
  <cellStyles count="4">
    <cellStyle name="Estilo 1" xfId="3" xr:uid="{F83B08D7-1683-4355-9DCC-1C4033DF596F}"/>
    <cellStyle name="Normal" xfId="0" builtinId="0"/>
    <cellStyle name="Normal 2" xfId="1" xr:uid="{2BD19BA1-BE5F-4197-84BB-BD68EA98CFA6}"/>
    <cellStyle name="Normal 4" xfId="2" xr:uid="{6EDC5176-B2E3-4F5E-9E85-D37C73455DD2}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Inventario Clientes Corporativos - Monitoreo.xlsx]Consolidado dinamico!TablaDinámica1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'Consolidado dinamico'!$C$4</c:f>
              <c:strCache>
                <c:ptCount val="1"/>
                <c:pt idx="0">
                  <c:v>Suma de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'Consolidado dinamico'!$B$5:$B$17</c:f>
              <c:multiLvlStrCache>
                <c:ptCount val="9"/>
                <c:lvl>
                  <c:pt idx="2">
                    <c:v>PGM 8000. ACTUADOR INALAMBRICO</c:v>
                  </c:pt>
                  <c:pt idx="3">
                    <c:v>ELECTROIMAN RECTANGULAR 400 LBSL/Z ANTIREMANENTE</c:v>
                  </c:pt>
                  <c:pt idx="4">
                    <c:v>KIT FUENTE GENERAL 2A FUENTE REGULADA DE 6/12/24 VDC, 2A TRANSFORMADOR 16.5 VAC-40VA CAJA METÁLICA PEQUEÑA, 23CM ANCHO X 20CM LARGO X 8CM BATERIA CARGA SECA 12V-4A</c:v>
                  </c:pt>
                  <c:pt idx="5">
                    <c:v>CIERRAPUERTAS AUTO (GATO) PARA PUERTAS DE 80-120KG</c:v>
                  </c:pt>
                  <c:pt idx="6">
                    <c:v>XAT 8000 EXP. TECLADO INALAMBRICO</c:v>
                  </c:pt>
                </c:lvl>
                <c:lvl>
                  <c:pt idx="0">
                    <c:v>ALARMA</c:v>
                  </c:pt>
                  <c:pt idx="1">
                    <c:v>CCTV</c:v>
                  </c:pt>
                  <c:pt idx="2">
                    <c:v>Control de acceso</c:v>
                  </c:pt>
                  <c:pt idx="7">
                    <c:v>ALARMA</c:v>
                  </c:pt>
                  <c:pt idx="8">
                    <c:v>CCTV</c:v>
                  </c:pt>
                </c:lvl>
                <c:lvl>
                  <c:pt idx="0">
                    <c:v>Colombia</c:v>
                  </c:pt>
                  <c:pt idx="7">
                    <c:v>Electronic</c:v>
                  </c:pt>
                </c:lvl>
              </c:multiLvlStrCache>
            </c:multiLvlStrRef>
          </c:cat>
          <c:val>
            <c:numRef>
              <c:f>'Consolidado dinamico'!$C$5:$C$17</c:f>
              <c:numCache>
                <c:formatCode>General</c:formatCode>
                <c:ptCount val="9"/>
                <c:pt idx="0">
                  <c:v>656</c:v>
                </c:pt>
                <c:pt idx="1">
                  <c:v>702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150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F-4A0A-AFA6-92C22A71FD19}"/>
            </c:ext>
          </c:extLst>
        </c:ser>
        <c:ser>
          <c:idx val="1"/>
          <c:order val="1"/>
          <c:tx>
            <c:strRef>
              <c:f>'Consolidado dinamico'!$D$4</c:f>
              <c:strCache>
                <c:ptCount val="1"/>
                <c:pt idx="0">
                  <c:v>Suma de Punto de recompra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'Consolidado dinamico'!$B$5:$B$17</c:f>
              <c:multiLvlStrCache>
                <c:ptCount val="9"/>
                <c:lvl>
                  <c:pt idx="2">
                    <c:v>PGM 8000. ACTUADOR INALAMBRICO</c:v>
                  </c:pt>
                  <c:pt idx="3">
                    <c:v>ELECTROIMAN RECTANGULAR 400 LBSL/Z ANTIREMANENTE</c:v>
                  </c:pt>
                  <c:pt idx="4">
                    <c:v>KIT FUENTE GENERAL 2A FUENTE REGULADA DE 6/12/24 VDC, 2A TRANSFORMADOR 16.5 VAC-40VA CAJA METÁLICA PEQUEÑA, 23CM ANCHO X 20CM LARGO X 8CM BATERIA CARGA SECA 12V-4A</c:v>
                  </c:pt>
                  <c:pt idx="5">
                    <c:v>CIERRAPUERTAS AUTO (GATO) PARA PUERTAS DE 80-120KG</c:v>
                  </c:pt>
                  <c:pt idx="6">
                    <c:v>XAT 8000 EXP. TECLADO INALAMBRICO</c:v>
                  </c:pt>
                </c:lvl>
                <c:lvl>
                  <c:pt idx="0">
                    <c:v>ALARMA</c:v>
                  </c:pt>
                  <c:pt idx="1">
                    <c:v>CCTV</c:v>
                  </c:pt>
                  <c:pt idx="2">
                    <c:v>Control de acceso</c:v>
                  </c:pt>
                  <c:pt idx="7">
                    <c:v>ALARMA</c:v>
                  </c:pt>
                  <c:pt idx="8">
                    <c:v>CCTV</c:v>
                  </c:pt>
                </c:lvl>
                <c:lvl>
                  <c:pt idx="0">
                    <c:v>Colombia</c:v>
                  </c:pt>
                  <c:pt idx="7">
                    <c:v>Electronic</c:v>
                  </c:pt>
                </c:lvl>
              </c:multiLvlStrCache>
            </c:multiLvlStrRef>
          </c:cat>
          <c:val>
            <c:numRef>
              <c:f>'Consolidado dinamico'!$D$5:$D$17</c:f>
              <c:numCache>
                <c:formatCode>General</c:formatCode>
                <c:ptCount val="9"/>
                <c:pt idx="0">
                  <c:v>220</c:v>
                </c:pt>
                <c:pt idx="1">
                  <c:v>231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F-4A0A-AFA6-92C22A71F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912688"/>
        <c:axId val="1746926608"/>
      </c:barChart>
      <c:catAx>
        <c:axId val="17469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6926608"/>
        <c:crosses val="autoZero"/>
        <c:auto val="1"/>
        <c:lblAlgn val="ctr"/>
        <c:lblOffset val="100"/>
        <c:noMultiLvlLbl val="0"/>
      </c:catAx>
      <c:valAx>
        <c:axId val="17469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691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726281</xdr:colOff>
      <xdr:row>1</xdr:row>
      <xdr:rowOff>176212</xdr:rowOff>
    </xdr:from>
    <xdr:to>
      <xdr:col>10</xdr:col>
      <xdr:colOff>723900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7B24D0-E877-D989-EE5F-C492235EF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Fernando Bohorquez Puentes" refreshedDate="46118.488492592594" createdVersion="8" refreshedVersion="8" minRefreshableVersion="3" recordCount="94" xr:uid="{BBDBD054-683C-4686-862D-D7A136BB7970}">
  <cacheSource type="worksheet">
    <worksheetSource ref="B2:N96" sheet="Inventario Consolidado"/>
  </cacheSource>
  <cacheFields count="13">
    <cacheField name="SES" numFmtId="0">
      <sharedItems/>
    </cacheField>
    <cacheField name="Comercial" numFmtId="0">
      <sharedItems count="3">
        <s v="Mayerli Forero"/>
        <s v="Nikol Reyes"/>
        <s v="Jose Oviedo"/>
      </sharedItems>
    </cacheField>
    <cacheField name="Sistema" numFmtId="0">
      <sharedItems count="3">
        <s v="ALARMA"/>
        <s v="CCTV"/>
        <s v="Control de acceso"/>
      </sharedItems>
    </cacheField>
    <cacheField name="Corporativo" numFmtId="0">
      <sharedItems/>
    </cacheField>
    <cacheField name="SECURITAS" numFmtId="0">
      <sharedItems count="2">
        <s v="Colombia"/>
        <s v="Electronic"/>
      </sharedItems>
    </cacheField>
    <cacheField name="Ceco Compra" numFmtId="0">
      <sharedItems containsSemiMixedTypes="0" containsString="0" containsNumber="1" containsInteger="1" minValue="4040097" maxValue="40600037"/>
    </cacheField>
    <cacheField name="Codigo" numFmtId="0">
      <sharedItems containsString="0" containsBlank="1" containsNumber="1" containsInteger="1" minValue="70084" maxValue="78881"/>
    </cacheField>
    <cacheField name="Item" numFmtId="0">
      <sharedItems count="86">
        <s v="UHF BATERIA ESTACIONARIA 7 AMP 12V                                                                                                                                                                      "/>
        <s v="BATERIA PARA SENSOR INALAMBRICO (CR-2032)                                                                                                                                                               "/>
        <s v="BATERIA PARA SENSOR INALAMBRICO (CR-123)"/>
        <s v="GENERICO PILA DE LITIO 3V (CR2450)                                                                                                                                                                      "/>
        <s v="GENERICA PILA ALCALINA AAA                                                                                                                                                                              "/>
        <s v="DAHUA XVR1B08-I-V2 / XVR 8CH + 2CH IP GRABACION HASTA 1080N HDMI 1 E/S RCA 1 SATA H.265+ AI CODING SMDPLUS                                                                                              "/>
        <s v="DAHUA XVR DE 16 CANALES 1DD X 6TB                                                                                                                                                                       "/>
        <s v="WESTERN DIGITAL DISCO DURO 4 TB SATA 3 64MB                                                                                                                                                             "/>
        <s v="DAHUA CAMARA DOMO IP 2MP, LENTE 2.8MM, CON AUDIO,  SMART DUAL LIGHT FULL COLOR, IR LED 30M, DWDR,                                                                                                       "/>
        <s v="CAMARA BALA 2MP IP, D/N REAL, IR LED 30M, LENTE 2.8MM, IP67, POE                                                                                                                                        "/>
        <s v="FUENTE DE ALIMENTACION CAMARAS 12V 3 AMP 12036E                                                                                                                                                         "/>
        <s v="FUENTE DE ALIMENTACION CAMARAS 12V 2AMP                                                                                                                                                                 "/>
        <s v="GENERICO VIDEO BALUM PASIVO TIPO CLICK                                                                                                                                                                  "/>
        <s v="PANEL PRINCIPAL NEO HS2032 (8-32 ZONAS)"/>
        <s v="TECLADO LCD ALFANUMÉRICO CON LECTOR DE PROXIMIDAD DE 32 CARACTERES"/>
        <s v="BATERIA CARGA SECA 12V-7A"/>
        <s v="TRANSFORMADOR 16.5V/40VA PARA ALARMA"/>
        <s v="DETECTOR PIR DIGITAL, 15MT, 100°, INMUNIDAD MASCOTAS 15KG"/>
        <s v="TAMPER "/>
        <s v="DETECTOR DE HUMO 4 HILOS CABLEADO"/>
        <s v="CONTACTO MAGNETICO PESADO PARA PUERTAS TIPO CORTIN"/>
        <s v="GABINETE METALICO GRANDE (CAJA ALARMA GRANDE)"/>
        <s v="SIRENA 30W DOBLE TONO"/>
        <s v="MODULO EXPANSOR DE 8 ZONAS CABLEADAS"/>
        <s v="BOTON EMERGENCIA ANTIPANICO"/>
        <s v="TARJETA COMUNICADOR UNIVERSAL LX30B LTE 4G"/>
        <s v="XVR-V2 8CH + 4CH IP GRABACION HASTA 5M-N HDMI 1 E/S RCA 1 SATA H.265+ AI CODING SMDPLUS"/>
        <s v="DISCO DURO 6TB CACHE 256MB 3.5&quot; SATA 5400 RPM 6GB/S"/>
        <s v="CAMARA 4 EN 1 1/2,7&quot; CMOS 1080P TIPO DOMO PLASTICO LENTE 2,8MM FOV 103° DWDR IR 20M"/>
        <s v="CAMARA 4 EN 1 1/2,7&quot; CMOS 1080P TIPO BALA METALICA 2.8MM FOV 93° DWDR IR 20M IP67"/>
        <s v="TRANSFORMADOR 12V 2 AMPERIOS"/>
        <s v="VIDEO BALLUM  RJ45 "/>
        <s v="AMT 8000 LITE. PANEL DE ALARMA, 64 ZONA INALAMBRICAS, INCLUYE SIRENA, FUENTE DE PODER Y COMUNICADOR ETHERNET"/>
        <s v="XG 4G. MÓDULO DE COMUNICACIÓN 4G COMPATIBLE CON AMT 1000 SMART Y AMT 2018 E SMART"/>
        <s v="XAT 8000 EXP. TECLADO INALAMBRICO, COMPATIBLE CON PANELES SERIE 8000, HASTA 16 TECLADOS, MÁXIMO 600 MTS LINEA DE VISTA O 2000 MTS USANDO REPETIDOR, ALIMENTACIÓN 4 BATERÍAS CR2450 INCLUIDAS"/>
        <s v="XAC 8000. CONTROL REMOTO NEGRO, ALCANCE DE HASTA 200M LINEA DE VISTA, MÁXIMO 98 CONTROLES POR PANEL, COMPATIBLE CON PANEL AMT 8000"/>
        <s v="PULSADOR ANTIATRACO (EMERGENCY)"/>
        <s v="XAS 8000. SENSOR MAGNETICO INALÁMBRICO, COMPATIBLE CON PANEL AMT 8000"/>
        <s v="IVP 8000 PET. SENSOR PASIVO INALAMBRICO PARA INTERIOR, ANTI MASCOTA DE HASTA 20KG, COMPATIBLE CON PANELES SERIE 8000"/>
        <s v="DFC 421. DETECTOR DE HUMO CONVENCIONAL"/>
        <s v="DTC 421. DETECTOR DE TEMPERATURA CONVENCIONAL"/>
        <s v="KIT FUENTE GENERAL 2A"/>
        <s v="TX 8000. TRANSMISOR UNIVERSAL, ENTRADA DE CONTACTO SECO NC PARA SENSORES CABLEADOS, COMPATIBLE CON PANEL AMT 8000"/>
        <s v="CONTACTO MAGNETICO PESADO"/>
        <s v="REP 8000. REPETIDOR INALÁMBRICO, MAXIMO 4 POR PANEL, CONEXIÓN INALAMBRICA AL PANEL, EXTIENDE LA SEÑAL INALAMBRICA 600 METROS "/>
        <s v="ELECTROIMAN RECTANGULAR 400 LBSL/Z ANTIREMANENTE"/>
        <s v="CIERRAPUERTAS AUTO (GATO) PARA PUERTAS DE 80-120KG"/>
        <s v="XAT 8000 EXP. TECLADO INALAMBRICO"/>
        <s v="PGM 8000. ACTUADOR INALAMBRICO"/>
        <s v="KIT FUENTE GENERAL 2A FUENTE REGULADA DE 6/12/24 VDC, 2A TRANSFORMADOR 16.5 VAC-40VA CAJA METÁLICA PEQUEÑA, 23CM ANCHO X 20CM LARGO X 8CM BATERIA CARGA SECA 12V-4A"/>
        <s v="TECLADO DE ICONOS FIJOS CABLEADO, ADMITE MAXIMO 128 ZONAS,"/>
        <s v="DETECTOR PIR DIGITAL, 15MT, 100°, INMUNIDAD MASCOTAS 15KG,"/>
        <s v="BATERIA ESTACIONARIA 7 AMP 12V"/>
        <s v="TRANSFORMADOR 16.5V/40VA"/>
        <s v="UHF-30W SIRENA 30W DOBLE TONO                                                                                                                                                                           "/>
        <s v="CONTACTO MAGNETICO LIVIANO NC BLANCO"/>
        <s v="BOTON EMERGENCIA "/>
        <s v="KIT COMUNICADOR LX30AUC + ANTENA ANT LTE SMA"/>
        <s v="MODULO EXPANSOR DE 8 ZONAS CABLEADAS PARA NEO"/>
        <s v="SENSOR DE VIBRACION DE CHOQUE RELEVO"/>
        <s v="CONTACTO MAGNETICO PESADO "/>
        <s v="DETECTOR DE MOVIMIENTO DOBLE TECNOLOGIA CON ANTIENMASCARAMIENTO "/>
        <s v="TAMPER SWITCH PARA GABINETE"/>
        <s v="KIT OPERADOR REMOTO PROGRAMABLE CON 2 CONTROLES"/>
        <s v="DETECTOR DE HUMO FOTOELÉCTRICO CON DETECTOR DE TEMPERATURA HONEYWELL"/>
        <s v="DVR 1080P Lite Pentahibrido / 8 Canales TURBOHD + 2 Canales IP / H.264+ / 1 Bahía de Disco Duro"/>
        <s v="DISCO DURO 2TB WESTERN DIGITAL PURPLE WD23PURZ_x000a_RPM5400 3.5” SATA3 - WD BY HIKVISION"/>
        <s v="Turret TURBOHD 1080p / Lente 2.8 mm / EXIR Inteligente 25 mts / Exterior / TVI-AHD-CVI-CVBS"/>
        <s v="VIDEOBALLUM TURBOHD 1080"/>
        <s v="PLUG MACHO TIPO JACK"/>
        <s v="PLUG HEMBRA TIPO JACK"/>
        <s v="FUENTE/ADAPTADOR DE 12V 2 AMP CON LUZ LED"/>
        <s v="DOMO TURBOHD 2 MPX HIBRIDA B/N - COLOR VU / IR 20 MTS / LENTE 2.8 MM / LUZ BLANCA 20 MTS / EXTERIOR IP67 / MICROFONO INTEGRADO"/>
        <s v="HANWHA 8 CH NVR WITH 8 POE PORTS (POE BUDGET 65W) WITH 8MP CAMERA SUPPORT. (QRN-830S)     "/>
        <s v="HANWHA 16CH NVR WITH 16 POE PORTS (POE BUDGET 130W) WITH 8MP CAMERA SUPPORT. (QRN-1630S)                                                                                                                "/>
        <s v="HANWHA CÁMARA IP TIPO DOMO ANTIVANDÁLICO 2 MEGAPÍXELES / LENTE 2.8MM / IR 30M / WDR 120DB / IP66 / IK10 / H.265 &amp; WISESTREAM                                                                            "/>
        <s v="HANWHA  ANO-L7082R CÁMARA BALA IR DE 4 MP, LENTE VARIFOCAL DE 3,3-10,3 MM, 30 M IR, IP66, BLANCA                                                                                                        "/>
        <s v="KIT OPERADOR REMOTO PROGRAMABLE CON 2 CONTROLES INALAMBRICO – 2 SALIDAS DE RELEVO UHF BY ZKTECO                                                                                                         "/>
        <s v="LYNX BATERIA 12 VOLTIOS 7 AMPERIOS                                                                                                                                                                      "/>
        <s v="DSC IQ PANEL 4 POWERG 915MHZ ALARMA QOLSYS PANTALLA 7&quot; 8MPX CAMARA, LTE/3G RADIO, WI-FI, BLUETOOHT                                                                                                      " u="1"/>
        <s v="DSC CONTACTO INALAMBRICO POWERG 915 MHZ SENSOR DE CHOQUE                                                                                                                                                " u="1"/>
        <s v="DSC CONTACTO INALAMBRICO PUERTA VENTANA                                                                                                                                                                 " u="1"/>
        <s v="DSC DETECTOR DE HUMO Y TEMPERATURA (PG9936)                                                                                                                                                             " u="1"/>
        <s v="DSC DETECTOR DE MOVIMIENTO PIR                                                                                                                                                                          " u="1"/>
        <s v="DSC PULSADOR DE PANICO INALAMBRICO POWER 915 MHZ                                                                                                                                                        " u="1"/>
        <s v="NVR DAHUA 8 CANALES POE" u="1"/>
      </sharedItems>
    </cacheField>
    <cacheField name="Marca" numFmtId="0">
      <sharedItems count="15">
        <s v="Lynx"/>
        <s v="Generico"/>
        <s v="Dahua"/>
        <s v="WESTERN DIGITAL"/>
        <s v="DSC"/>
        <s v="UHF"/>
        <s v="GEN"/>
        <s v="EBS"/>
        <s v="DAHUA "/>
        <s v="INTELBRAS"/>
        <s v="GSP"/>
        <s v="SECOLARM"/>
        <s v="HONEYWELL"/>
        <s v="HIKVISION"/>
        <s v="HANWHA"/>
      </sharedItems>
    </cacheField>
    <cacheField name="Referencia" numFmtId="0">
      <sharedItems containsMixedTypes="1" containsNumber="1" containsInteger="1" minValue="502" maxValue="502" count="66">
        <s v="LY-12V7AH"/>
        <s v="CR-2032"/>
        <s v="CR123"/>
        <s v="CR2450"/>
        <s v="GENERICO"/>
        <s v="XVR1B08-I"/>
        <s v="XVR1B16-I"/>
        <s v="WD4T"/>
        <s v="IPC-HDW1239T1"/>
        <s v="IPC-HFW1239S1"/>
        <s v="HS2032PCBSPA"/>
        <s v="HS2LCDP N"/>
        <s v="UHF-AC1640"/>
        <s v="LC-200"/>
        <s v="LY-T072"/>
        <s v="UHF-DH4"/>
        <s v="UHF-MCP"/>
        <s v="GAB-GRA"/>
        <s v="UHF-30W"/>
        <s v="HSM2108"/>
        <s v="UHF-PA075"/>
        <s v="LX30B-Q40T"/>
        <s v="DH-XVR1B08H-I-T"/>
        <s v="WD6PURZ"/>
        <s v="DH-HAC-T1A21N-U-0280B"/>
        <s v="DH-HAC-B2A21N-U-0280B"/>
        <s v="TRANS12V2"/>
        <s v="VB-BALUM PVA"/>
        <s v="AMT 8000 LITE"/>
        <s v="XG 4G"/>
        <s v="XAT 8000 EXP"/>
        <s v="XAC 8000"/>
        <s v="LY-PA075"/>
        <s v="XAS 8000"/>
        <s v="IVP 8000 PET"/>
        <s v="DFC 421"/>
        <s v="DTC 421"/>
        <s v="KIT-FUEN-GEN2"/>
        <s v="TX 8000"/>
        <s v="LY-CM226L"/>
        <s v="REP 8000"/>
        <s v="LY-ELI400F"/>
        <s v="DC80120"/>
        <s v="PGM 8000"/>
        <s v="_x0009_HS2ICN"/>
        <s v="UHF-712"/>
        <s v="UHF-MC200"/>
        <s v="KIT-LX30AUC"/>
        <s v="SS-040Q/W"/>
        <s v="LC-203"/>
        <s v="SS072Q"/>
        <s v="LY-OR1-V1"/>
        <n v="502"/>
        <s v="DS7208HGHIM1©"/>
        <s v="HIK2TB-WD23PURZ"/>
        <s v="DS-2CE56D0T-IRMF©"/>
        <s v="UHF-VBHD"/>
        <s v="UHF-CM"/>
        <s v="UHF-CH"/>
        <s v="UHF-F12V2AH"/>
        <s v="DS2CE76D0TLPF"/>
        <s v="QRN830S"/>
        <s v="QRN1630S"/>
        <s v="ANV-L6012R"/>
        <s v="ANO-L7082R"/>
        <s v="UHF-OPR2"/>
      </sharedItems>
    </cacheField>
    <cacheField name="Cantidad en Almacén" numFmtId="0">
      <sharedItems containsNonDate="0" containsString="0" containsBlank="1"/>
    </cacheField>
    <cacheField name="Stock" numFmtId="0">
      <sharedItems containsSemiMixedTypes="0" containsString="0" containsNumber="1" containsInteger="1" minValue="2" maxValue="96"/>
    </cacheField>
    <cacheField name="Punto de recompra" numFmtId="0">
      <sharedItems containsSemiMixedTypes="0" containsString="0" containsNumber="1" containsInteger="1" minValue="1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Mtto"/>
    <x v="0"/>
    <x v="0"/>
    <s v="Alsea"/>
    <x v="0"/>
    <n v="4040097"/>
    <n v="72897"/>
    <x v="0"/>
    <x v="0"/>
    <x v="0"/>
    <m/>
    <n v="15"/>
    <n v="3"/>
  </r>
  <r>
    <s v="Mtto"/>
    <x v="0"/>
    <x v="0"/>
    <s v="Alsea"/>
    <x v="0"/>
    <n v="4040097"/>
    <n v="72543"/>
    <x v="1"/>
    <x v="1"/>
    <x v="1"/>
    <m/>
    <n v="50"/>
    <n v="10"/>
  </r>
  <r>
    <s v="Mtto"/>
    <x v="0"/>
    <x v="0"/>
    <s v="Alsea"/>
    <x v="0"/>
    <n v="4040097"/>
    <n v="72543"/>
    <x v="2"/>
    <x v="1"/>
    <x v="2"/>
    <m/>
    <n v="50"/>
    <n v="10"/>
  </r>
  <r>
    <s v="Mtto"/>
    <x v="0"/>
    <x v="0"/>
    <s v="Alsea"/>
    <x v="0"/>
    <n v="4040097"/>
    <n v="72867"/>
    <x v="3"/>
    <x v="1"/>
    <x v="3"/>
    <m/>
    <n v="10"/>
    <n v="3"/>
  </r>
  <r>
    <s v="Mtto"/>
    <x v="0"/>
    <x v="0"/>
    <s v="Alsea"/>
    <x v="0"/>
    <n v="4040097"/>
    <n v="72984"/>
    <x v="4"/>
    <x v="1"/>
    <x v="4"/>
    <m/>
    <n v="25"/>
    <n v="5"/>
  </r>
  <r>
    <s v="Mtto"/>
    <x v="0"/>
    <x v="1"/>
    <s v="Alsea"/>
    <x v="0"/>
    <n v="4040097"/>
    <n v="70622"/>
    <x v="5"/>
    <x v="2"/>
    <x v="5"/>
    <m/>
    <n v="5"/>
    <n v="1"/>
  </r>
  <r>
    <s v="Mtto"/>
    <x v="0"/>
    <x v="1"/>
    <s v="Alsea"/>
    <x v="0"/>
    <n v="4040097"/>
    <n v="70405"/>
    <x v="6"/>
    <x v="2"/>
    <x v="6"/>
    <m/>
    <n v="2"/>
    <n v="1"/>
  </r>
  <r>
    <s v="Mtto"/>
    <x v="0"/>
    <x v="1"/>
    <s v="Alsea"/>
    <x v="0"/>
    <n v="4040097"/>
    <n v="78354"/>
    <x v="7"/>
    <x v="3"/>
    <x v="7"/>
    <m/>
    <n v="20"/>
    <n v="5"/>
  </r>
  <r>
    <s v="Mtto"/>
    <x v="0"/>
    <x v="1"/>
    <s v="Alsea"/>
    <x v="0"/>
    <n v="4040097"/>
    <n v="70963"/>
    <x v="8"/>
    <x v="2"/>
    <x v="8"/>
    <m/>
    <n v="5"/>
    <n v="2"/>
  </r>
  <r>
    <s v="Mtto"/>
    <x v="0"/>
    <x v="1"/>
    <s v="Alsea"/>
    <x v="0"/>
    <n v="4040097"/>
    <n v="70964"/>
    <x v="9"/>
    <x v="2"/>
    <x v="9"/>
    <m/>
    <n v="2"/>
    <n v="1"/>
  </r>
  <r>
    <s v="Mtto"/>
    <x v="0"/>
    <x v="1"/>
    <s v="Alsea"/>
    <x v="0"/>
    <n v="4040097"/>
    <n v="70549"/>
    <x v="10"/>
    <x v="1"/>
    <x v="4"/>
    <m/>
    <n v="6"/>
    <n v="2"/>
  </r>
  <r>
    <s v="Mtto"/>
    <x v="0"/>
    <x v="1"/>
    <s v="Alsea"/>
    <x v="0"/>
    <n v="4040097"/>
    <n v="70155"/>
    <x v="11"/>
    <x v="1"/>
    <x v="4"/>
    <m/>
    <n v="10"/>
    <n v="3"/>
  </r>
  <r>
    <s v="Mtto"/>
    <x v="0"/>
    <x v="1"/>
    <s v="Alsea"/>
    <x v="0"/>
    <n v="4040097"/>
    <n v="70084"/>
    <x v="12"/>
    <x v="1"/>
    <x v="4"/>
    <m/>
    <n v="50"/>
    <n v="15"/>
  </r>
  <r>
    <s v="Monitoreo"/>
    <x v="1"/>
    <x v="0"/>
    <s v="Alsea [Renovación]"/>
    <x v="0"/>
    <n v="40301096"/>
    <m/>
    <x v="13"/>
    <x v="4"/>
    <x v="10"/>
    <m/>
    <n v="5"/>
    <n v="2"/>
  </r>
  <r>
    <s v="Monitoreo"/>
    <x v="1"/>
    <x v="0"/>
    <s v="Alsea [Renovación]"/>
    <x v="0"/>
    <n v="40301096"/>
    <m/>
    <x v="14"/>
    <x v="4"/>
    <x v="11"/>
    <m/>
    <n v="5"/>
    <n v="2"/>
  </r>
  <r>
    <s v="Monitoreo"/>
    <x v="1"/>
    <x v="0"/>
    <s v="Alsea [Renovación]"/>
    <x v="0"/>
    <n v="40301096"/>
    <m/>
    <x v="15"/>
    <x v="0"/>
    <x v="0"/>
    <m/>
    <n v="5"/>
    <n v="2"/>
  </r>
  <r>
    <s v="Monitoreo"/>
    <x v="1"/>
    <x v="0"/>
    <s v="Alsea [Renovación]"/>
    <x v="0"/>
    <n v="40301096"/>
    <m/>
    <x v="16"/>
    <x v="5"/>
    <x v="12"/>
    <m/>
    <n v="5"/>
    <n v="2"/>
  </r>
  <r>
    <s v="Monitoreo"/>
    <x v="1"/>
    <x v="0"/>
    <s v="Alsea [Renovación]"/>
    <x v="0"/>
    <n v="40301096"/>
    <m/>
    <x v="17"/>
    <x v="4"/>
    <x v="13"/>
    <m/>
    <n v="25"/>
    <n v="10"/>
  </r>
  <r>
    <s v="Monitoreo"/>
    <x v="1"/>
    <x v="0"/>
    <s v="Alsea [Renovación]"/>
    <x v="0"/>
    <n v="40301096"/>
    <m/>
    <x v="18"/>
    <x v="0"/>
    <x v="14"/>
    <m/>
    <n v="5"/>
    <n v="2"/>
  </r>
  <r>
    <s v="Monitoreo"/>
    <x v="1"/>
    <x v="0"/>
    <s v="Alsea [Renovación]"/>
    <x v="0"/>
    <n v="40301096"/>
    <m/>
    <x v="19"/>
    <x v="5"/>
    <x v="15"/>
    <m/>
    <n v="15"/>
    <n v="6"/>
  </r>
  <r>
    <s v="Monitoreo"/>
    <x v="1"/>
    <x v="0"/>
    <s v="Alsea [Renovación]"/>
    <x v="0"/>
    <n v="40301096"/>
    <m/>
    <x v="20"/>
    <x v="5"/>
    <x v="16"/>
    <m/>
    <n v="10"/>
    <n v="4"/>
  </r>
  <r>
    <s v="Monitoreo"/>
    <x v="1"/>
    <x v="0"/>
    <s v="Alsea [Renovación]"/>
    <x v="0"/>
    <n v="40301096"/>
    <m/>
    <x v="21"/>
    <x v="6"/>
    <x v="17"/>
    <m/>
    <n v="5"/>
    <n v="2"/>
  </r>
  <r>
    <s v="Monitoreo"/>
    <x v="1"/>
    <x v="0"/>
    <s v="Alsea [Renovación]"/>
    <x v="0"/>
    <n v="40301096"/>
    <m/>
    <x v="22"/>
    <x v="5"/>
    <x v="18"/>
    <m/>
    <n v="5"/>
    <n v="2"/>
  </r>
  <r>
    <s v="Monitoreo"/>
    <x v="1"/>
    <x v="0"/>
    <s v="Alsea [Renovación]"/>
    <x v="0"/>
    <n v="40301096"/>
    <m/>
    <x v="23"/>
    <x v="4"/>
    <x v="19"/>
    <m/>
    <n v="5"/>
    <n v="2"/>
  </r>
  <r>
    <s v="Monitoreo"/>
    <x v="1"/>
    <x v="0"/>
    <s v="Alsea [Renovación]"/>
    <x v="0"/>
    <n v="40301096"/>
    <m/>
    <x v="24"/>
    <x v="5"/>
    <x v="20"/>
    <m/>
    <n v="15"/>
    <n v="5"/>
  </r>
  <r>
    <s v="Monitoreo"/>
    <x v="1"/>
    <x v="1"/>
    <s v="Alsea [Renovación]"/>
    <x v="0"/>
    <n v="40301096"/>
    <m/>
    <x v="25"/>
    <x v="7"/>
    <x v="21"/>
    <m/>
    <n v="5"/>
    <n v="2"/>
  </r>
  <r>
    <s v="Monitoreo"/>
    <x v="1"/>
    <x v="1"/>
    <s v="Alsea [Renovación]"/>
    <x v="0"/>
    <n v="40301096"/>
    <m/>
    <x v="26"/>
    <x v="8"/>
    <x v="22"/>
    <m/>
    <n v="3"/>
    <n v="1"/>
  </r>
  <r>
    <s v="Monitoreo"/>
    <x v="1"/>
    <x v="1"/>
    <s v="Alsea [Renovación]"/>
    <x v="0"/>
    <n v="40301096"/>
    <m/>
    <x v="27"/>
    <x v="3"/>
    <x v="23"/>
    <m/>
    <n v="3"/>
    <n v="1"/>
  </r>
  <r>
    <s v="Monitoreo"/>
    <x v="1"/>
    <x v="1"/>
    <s v="Alsea [Renovación]"/>
    <x v="0"/>
    <n v="40301096"/>
    <m/>
    <x v="28"/>
    <x v="8"/>
    <x v="24"/>
    <m/>
    <n v="21"/>
    <n v="7"/>
  </r>
  <r>
    <s v="Monitoreo"/>
    <x v="1"/>
    <x v="1"/>
    <s v="Alsea [Renovación]"/>
    <x v="0"/>
    <n v="40301096"/>
    <m/>
    <x v="29"/>
    <x v="8"/>
    <x v="25"/>
    <m/>
    <n v="3"/>
    <n v="1"/>
  </r>
  <r>
    <s v="Monitoreo"/>
    <x v="1"/>
    <x v="1"/>
    <s v="Alsea [Renovación]"/>
    <x v="0"/>
    <n v="40301096"/>
    <m/>
    <x v="30"/>
    <x v="6"/>
    <x v="26"/>
    <m/>
    <n v="24"/>
    <n v="8"/>
  </r>
  <r>
    <s v="Monitoreo"/>
    <x v="1"/>
    <x v="1"/>
    <s v="Alsea [Renovación]"/>
    <x v="0"/>
    <n v="40301096"/>
    <m/>
    <x v="31"/>
    <x v="5"/>
    <x v="27"/>
    <m/>
    <n v="24"/>
    <n v="8"/>
  </r>
  <r>
    <s v="Monitoreo"/>
    <x v="1"/>
    <x v="1"/>
    <s v="Alsea [Renovación]"/>
    <x v="0"/>
    <n v="40301096"/>
    <n v="70964"/>
    <x v="9"/>
    <x v="2"/>
    <x v="9"/>
    <m/>
    <n v="3"/>
    <n v="1"/>
  </r>
  <r>
    <s v="Monitoreo"/>
    <x v="2"/>
    <x v="0"/>
    <s v="Arcos Dorados [Comodato]"/>
    <x v="0"/>
    <n v="40208260"/>
    <n v="73009"/>
    <x v="32"/>
    <x v="9"/>
    <x v="28"/>
    <m/>
    <n v="5"/>
    <n v="2"/>
  </r>
  <r>
    <s v="Monitoreo"/>
    <x v="2"/>
    <x v="0"/>
    <s v="Arcos Dorados [Comodato]"/>
    <x v="0"/>
    <n v="40208260"/>
    <n v="72877"/>
    <x v="33"/>
    <x v="9"/>
    <x v="29"/>
    <m/>
    <n v="5"/>
    <n v="2"/>
  </r>
  <r>
    <s v="Monitoreo"/>
    <x v="2"/>
    <x v="0"/>
    <s v="Arcos Dorados [Comodato]"/>
    <x v="0"/>
    <n v="40208260"/>
    <n v="72862"/>
    <x v="34"/>
    <x v="9"/>
    <x v="30"/>
    <m/>
    <n v="5"/>
    <n v="2"/>
  </r>
  <r>
    <s v="Monitoreo"/>
    <x v="2"/>
    <x v="0"/>
    <s v="Arcos Dorados [Comodato]"/>
    <x v="0"/>
    <n v="40208260"/>
    <n v="72861"/>
    <x v="35"/>
    <x v="9"/>
    <x v="31"/>
    <m/>
    <n v="15"/>
    <n v="6"/>
  </r>
  <r>
    <s v="Monitoreo"/>
    <x v="2"/>
    <x v="0"/>
    <s v="Arcos Dorados [Comodato]"/>
    <x v="0"/>
    <n v="40208260"/>
    <m/>
    <x v="36"/>
    <x v="9"/>
    <x v="32"/>
    <m/>
    <n v="5"/>
    <n v="2"/>
  </r>
  <r>
    <s v="Monitoreo"/>
    <x v="2"/>
    <x v="0"/>
    <s v="Arcos Dorados [Comodato]"/>
    <x v="0"/>
    <n v="40208260"/>
    <n v="72859"/>
    <x v="37"/>
    <x v="9"/>
    <x v="33"/>
    <m/>
    <n v="35"/>
    <n v="14"/>
  </r>
  <r>
    <s v="Monitoreo"/>
    <x v="2"/>
    <x v="0"/>
    <s v="Arcos Dorados [Comodato]"/>
    <x v="0"/>
    <n v="40208260"/>
    <n v="72860"/>
    <x v="38"/>
    <x v="9"/>
    <x v="34"/>
    <m/>
    <n v="50"/>
    <n v="20"/>
  </r>
  <r>
    <s v="Monitoreo"/>
    <x v="2"/>
    <x v="0"/>
    <s v="Arcos Dorados [Comodato]"/>
    <x v="0"/>
    <n v="40208260"/>
    <n v="73012"/>
    <x v="39"/>
    <x v="9"/>
    <x v="35"/>
    <m/>
    <n v="25"/>
    <n v="10"/>
  </r>
  <r>
    <s v="Monitoreo"/>
    <x v="2"/>
    <x v="0"/>
    <s v="Arcos Dorados [Comodato]"/>
    <x v="0"/>
    <n v="40208260"/>
    <n v="73013"/>
    <x v="40"/>
    <x v="9"/>
    <x v="36"/>
    <m/>
    <n v="5"/>
    <n v="2"/>
  </r>
  <r>
    <s v="Monitoreo"/>
    <x v="2"/>
    <x v="0"/>
    <s v="Arcos Dorados [Comodato]"/>
    <x v="0"/>
    <n v="40208260"/>
    <n v="72999"/>
    <x v="41"/>
    <x v="9"/>
    <x v="37"/>
    <m/>
    <n v="5"/>
    <n v="2"/>
  </r>
  <r>
    <s v="Monitoreo"/>
    <x v="2"/>
    <x v="0"/>
    <s v="Arcos Dorados [Comodato]"/>
    <x v="0"/>
    <n v="40208260"/>
    <n v="73011"/>
    <x v="42"/>
    <x v="9"/>
    <x v="38"/>
    <m/>
    <n v="45"/>
    <n v="18"/>
  </r>
  <r>
    <s v="Monitoreo"/>
    <x v="2"/>
    <x v="0"/>
    <s v="Arcos Dorados [Comodato]"/>
    <x v="0"/>
    <n v="40208260"/>
    <n v="72612"/>
    <x v="43"/>
    <x v="0"/>
    <x v="39"/>
    <m/>
    <n v="10"/>
    <n v="4"/>
  </r>
  <r>
    <s v="Monitoreo"/>
    <x v="2"/>
    <x v="0"/>
    <s v="Arcos Dorados [Comodato]"/>
    <x v="0"/>
    <n v="40208260"/>
    <m/>
    <x v="44"/>
    <x v="9"/>
    <x v="40"/>
    <m/>
    <n v="5"/>
    <n v="2"/>
  </r>
  <r>
    <s v="Monitoreo"/>
    <x v="2"/>
    <x v="2"/>
    <s v="Arcos Dorados [Comodato]"/>
    <x v="0"/>
    <n v="40208260"/>
    <n v="76805"/>
    <x v="45"/>
    <x v="10"/>
    <x v="41"/>
    <m/>
    <n v="5"/>
    <n v="2"/>
  </r>
  <r>
    <s v="Monitoreo"/>
    <x v="2"/>
    <x v="2"/>
    <s v="Arcos Dorados [Comodato]"/>
    <x v="0"/>
    <n v="40208260"/>
    <n v="77145"/>
    <x v="46"/>
    <x v="9"/>
    <x v="42"/>
    <m/>
    <n v="5"/>
    <n v="2"/>
  </r>
  <r>
    <s v="Monitoreo"/>
    <x v="2"/>
    <x v="2"/>
    <s v="Arcos Dorados [Comodato]"/>
    <x v="0"/>
    <n v="40208260"/>
    <n v="72862"/>
    <x v="47"/>
    <x v="9"/>
    <x v="30"/>
    <m/>
    <n v="5"/>
    <n v="2"/>
  </r>
  <r>
    <s v="Monitoreo"/>
    <x v="2"/>
    <x v="2"/>
    <s v="Arcos Dorados [Comodato]"/>
    <x v="0"/>
    <n v="40208260"/>
    <n v="73010"/>
    <x v="48"/>
    <x v="11"/>
    <x v="43"/>
    <m/>
    <n v="5"/>
    <n v="2"/>
  </r>
  <r>
    <s v="Monitoreo"/>
    <x v="2"/>
    <x v="2"/>
    <s v="Arcos Dorados [Comodato]"/>
    <x v="0"/>
    <n v="40208260"/>
    <n v="72999"/>
    <x v="49"/>
    <x v="11"/>
    <x v="37"/>
    <m/>
    <n v="5"/>
    <n v="2"/>
  </r>
  <r>
    <s v="Monitoreo"/>
    <x v="1"/>
    <x v="0"/>
    <s v="ISIMO [Comodato]"/>
    <x v="0"/>
    <n v="40208112"/>
    <n v="72564"/>
    <x v="13"/>
    <x v="4"/>
    <x v="10"/>
    <m/>
    <n v="6"/>
    <n v="2"/>
  </r>
  <r>
    <s v="Monitoreo"/>
    <x v="1"/>
    <x v="0"/>
    <s v="ISIMO [Comodato]"/>
    <x v="0"/>
    <n v="40208112"/>
    <n v="72691"/>
    <x v="50"/>
    <x v="4"/>
    <x v="44"/>
    <m/>
    <n v="6"/>
    <n v="2"/>
  </r>
  <r>
    <s v="Monitoreo"/>
    <x v="1"/>
    <x v="0"/>
    <s v="ISIMO [Comodato]"/>
    <x v="0"/>
    <n v="40208112"/>
    <n v="72513"/>
    <x v="21"/>
    <x v="5"/>
    <x v="17"/>
    <m/>
    <n v="6"/>
    <n v="2"/>
  </r>
  <r>
    <s v="Monitoreo"/>
    <x v="1"/>
    <x v="0"/>
    <s v="ISIMO [Comodato]"/>
    <x v="0"/>
    <n v="40208112"/>
    <n v="72875"/>
    <x v="51"/>
    <x v="4"/>
    <x v="13"/>
    <m/>
    <n v="6"/>
    <n v="2"/>
  </r>
  <r>
    <s v="Monitoreo"/>
    <x v="1"/>
    <x v="0"/>
    <s v="ISIMO [Comodato]"/>
    <x v="0"/>
    <n v="40208112"/>
    <n v="72897"/>
    <x v="52"/>
    <x v="5"/>
    <x v="45"/>
    <m/>
    <n v="6"/>
    <n v="2"/>
  </r>
  <r>
    <s v="Monitoreo"/>
    <x v="1"/>
    <x v="0"/>
    <s v="ISIMO [Comodato]"/>
    <x v="0"/>
    <n v="40208112"/>
    <n v="72898"/>
    <x v="53"/>
    <x v="5"/>
    <x v="12"/>
    <m/>
    <n v="6"/>
    <n v="2"/>
  </r>
  <r>
    <s v="Monitoreo"/>
    <x v="1"/>
    <x v="0"/>
    <s v="ISIMO [Comodato]"/>
    <x v="0"/>
    <n v="40208112"/>
    <n v="72894"/>
    <x v="54"/>
    <x v="5"/>
    <x v="18"/>
    <m/>
    <n v="6"/>
    <n v="2"/>
  </r>
  <r>
    <s v="Monitoreo"/>
    <x v="1"/>
    <x v="0"/>
    <s v="ISIMO [Comodato]"/>
    <x v="0"/>
    <n v="40208112"/>
    <n v="72929"/>
    <x v="55"/>
    <x v="5"/>
    <x v="46"/>
    <m/>
    <n v="6"/>
    <n v="2"/>
  </r>
  <r>
    <s v="Monitoreo"/>
    <x v="1"/>
    <x v="0"/>
    <s v="ISIMO [Comodato]"/>
    <x v="0"/>
    <n v="40208112"/>
    <n v="72683"/>
    <x v="56"/>
    <x v="5"/>
    <x v="20"/>
    <m/>
    <n v="6"/>
    <n v="2"/>
  </r>
  <r>
    <s v="Monitoreo"/>
    <x v="1"/>
    <x v="0"/>
    <s v="ISIMO [Comodato]"/>
    <x v="0"/>
    <n v="40208112"/>
    <n v="72912"/>
    <x v="57"/>
    <x v="7"/>
    <x v="47"/>
    <m/>
    <n v="6"/>
    <n v="2"/>
  </r>
  <r>
    <s v="Monitoreo"/>
    <x v="1"/>
    <x v="0"/>
    <s v="ISIMO [Venta]"/>
    <x v="0"/>
    <n v="40300898"/>
    <n v="72594"/>
    <x v="58"/>
    <x v="4"/>
    <x v="19"/>
    <m/>
    <n v="18"/>
    <n v="6"/>
  </r>
  <r>
    <s v="Monitoreo"/>
    <x v="1"/>
    <x v="0"/>
    <s v="ISIMO [Venta]"/>
    <x v="0"/>
    <n v="40300898"/>
    <n v="72916"/>
    <x v="19"/>
    <x v="5"/>
    <x v="15"/>
    <m/>
    <n v="18"/>
    <n v="6"/>
  </r>
  <r>
    <s v="Monitoreo"/>
    <x v="1"/>
    <x v="0"/>
    <s v="ISIMO [Venta]"/>
    <x v="0"/>
    <n v="40300898"/>
    <n v="72517"/>
    <x v="59"/>
    <x v="11"/>
    <x v="48"/>
    <m/>
    <n v="6"/>
    <n v="2"/>
  </r>
  <r>
    <s v="Monitoreo"/>
    <x v="1"/>
    <x v="0"/>
    <s v="ISIMO [Venta]"/>
    <x v="0"/>
    <n v="40300898"/>
    <n v="72886"/>
    <x v="60"/>
    <x v="5"/>
    <x v="16"/>
    <m/>
    <n v="12"/>
    <n v="4"/>
  </r>
  <r>
    <s v="Monitoreo"/>
    <x v="1"/>
    <x v="0"/>
    <s v="ISIMO [Venta]"/>
    <x v="0"/>
    <n v="40300898"/>
    <n v="72963"/>
    <x v="61"/>
    <x v="4"/>
    <x v="49"/>
    <m/>
    <n v="12"/>
    <n v="4"/>
  </r>
  <r>
    <s v="Monitoreo"/>
    <x v="1"/>
    <x v="0"/>
    <s v="ISIMO [Venta]"/>
    <x v="0"/>
    <n v="40300898"/>
    <n v="73033"/>
    <x v="62"/>
    <x v="11"/>
    <x v="50"/>
    <m/>
    <n v="24"/>
    <n v="8"/>
  </r>
  <r>
    <s v="Monitoreo"/>
    <x v="1"/>
    <x v="0"/>
    <s v="ISIMO [Venta]"/>
    <x v="0"/>
    <n v="40300898"/>
    <n v="72592"/>
    <x v="63"/>
    <x v="0"/>
    <x v="51"/>
    <m/>
    <n v="6"/>
    <n v="2"/>
  </r>
  <r>
    <s v="Monitoreo"/>
    <x v="1"/>
    <x v="0"/>
    <s v="ISIMO [Venta]"/>
    <x v="0"/>
    <n v="40300898"/>
    <n v="73828"/>
    <x v="24"/>
    <x v="5"/>
    <x v="20"/>
    <m/>
    <n v="24"/>
    <n v="8"/>
  </r>
  <r>
    <s v="Monitoreo"/>
    <x v="1"/>
    <x v="0"/>
    <s v="ISIMO [Venta]"/>
    <x v="0"/>
    <n v="40300898"/>
    <n v="75017"/>
    <x v="64"/>
    <x v="12"/>
    <x v="52"/>
    <m/>
    <n v="6"/>
    <n v="2"/>
  </r>
  <r>
    <s v="Monitoreo"/>
    <x v="1"/>
    <x v="1"/>
    <s v="ISIMO [Venta]"/>
    <x v="0"/>
    <n v="40300898"/>
    <n v="70967"/>
    <x v="65"/>
    <x v="13"/>
    <x v="53"/>
    <m/>
    <n v="12"/>
    <n v="4"/>
  </r>
  <r>
    <s v="Monitoreo"/>
    <x v="1"/>
    <x v="1"/>
    <s v="ISIMO [Venta]"/>
    <x v="0"/>
    <n v="40300898"/>
    <n v="78617"/>
    <x v="66"/>
    <x v="3"/>
    <x v="54"/>
    <m/>
    <n v="12"/>
    <n v="4"/>
  </r>
  <r>
    <s v="Monitoreo"/>
    <x v="1"/>
    <x v="1"/>
    <s v="ISIMO [Venta]"/>
    <x v="0"/>
    <n v="40300898"/>
    <n v="70269"/>
    <x v="67"/>
    <x v="13"/>
    <x v="55"/>
    <m/>
    <n v="96"/>
    <n v="32"/>
  </r>
  <r>
    <s v="Monitoreo"/>
    <x v="1"/>
    <x v="1"/>
    <s v="ISIMO [Venta]"/>
    <x v="0"/>
    <n v="40300898"/>
    <n v="70771"/>
    <x v="68"/>
    <x v="5"/>
    <x v="56"/>
    <m/>
    <n v="96"/>
    <n v="32"/>
  </r>
  <r>
    <s v="Monitoreo"/>
    <x v="1"/>
    <x v="1"/>
    <s v="ISIMO [Venta]"/>
    <x v="0"/>
    <n v="40300898"/>
    <n v="70585"/>
    <x v="69"/>
    <x v="5"/>
    <x v="57"/>
    <m/>
    <n v="96"/>
    <n v="32"/>
  </r>
  <r>
    <s v="Monitoreo"/>
    <x v="1"/>
    <x v="1"/>
    <s v="ISIMO [Venta]"/>
    <x v="0"/>
    <n v="40300898"/>
    <n v="78881"/>
    <x v="70"/>
    <x v="5"/>
    <x v="58"/>
    <m/>
    <n v="96"/>
    <n v="32"/>
  </r>
  <r>
    <s v="Monitoreo"/>
    <x v="1"/>
    <x v="1"/>
    <s v="ISIMO [Venta]"/>
    <x v="0"/>
    <n v="40300898"/>
    <n v="70761"/>
    <x v="71"/>
    <x v="5"/>
    <x v="59"/>
    <m/>
    <n v="96"/>
    <n v="32"/>
  </r>
  <r>
    <s v="Monitoreo"/>
    <x v="1"/>
    <x v="1"/>
    <s v="ISIMO [Venta]"/>
    <x v="0"/>
    <n v="40300898"/>
    <n v="70761"/>
    <x v="72"/>
    <x v="13"/>
    <x v="60"/>
    <m/>
    <n v="12"/>
    <n v="4"/>
  </r>
  <r>
    <s v="Monitoreo"/>
    <x v="1"/>
    <x v="1"/>
    <s v="Procafecol"/>
    <x v="1"/>
    <n v="40500040"/>
    <n v="70730"/>
    <x v="73"/>
    <x v="14"/>
    <x v="61"/>
    <m/>
    <n v="5"/>
    <n v="2"/>
  </r>
  <r>
    <s v="Monitoreo"/>
    <x v="1"/>
    <x v="1"/>
    <s v="Procafecol"/>
    <x v="1"/>
    <n v="40500040"/>
    <n v="70728"/>
    <x v="74"/>
    <x v="14"/>
    <x v="62"/>
    <m/>
    <n v="2"/>
    <n v="1"/>
  </r>
  <r>
    <s v="Monitoreo"/>
    <x v="1"/>
    <x v="1"/>
    <s v="Procafecol"/>
    <x v="1"/>
    <n v="40500040"/>
    <n v="70810"/>
    <x v="75"/>
    <x v="14"/>
    <x v="63"/>
    <m/>
    <n v="20"/>
    <n v="6"/>
  </r>
  <r>
    <s v="Monitoreo"/>
    <x v="1"/>
    <x v="1"/>
    <s v="Procafecol"/>
    <x v="1"/>
    <n v="40500040"/>
    <n v="70740"/>
    <x v="76"/>
    <x v="14"/>
    <x v="64"/>
    <m/>
    <n v="3"/>
    <n v="1"/>
  </r>
  <r>
    <s v="Monitoreo"/>
    <x v="1"/>
    <x v="1"/>
    <s v="Procafecol"/>
    <x v="1"/>
    <n v="40500040"/>
    <n v="78354"/>
    <x v="7"/>
    <x v="3"/>
    <x v="7"/>
    <m/>
    <n v="10"/>
    <n v="2"/>
  </r>
  <r>
    <s v="Mtto"/>
    <x v="0"/>
    <x v="0"/>
    <s v="Procafecol"/>
    <x v="1"/>
    <n v="40600037"/>
    <n v="72932"/>
    <x v="77"/>
    <x v="5"/>
    <x v="65"/>
    <m/>
    <n v="5"/>
    <n v="2"/>
  </r>
  <r>
    <s v="Mtto"/>
    <x v="0"/>
    <x v="0"/>
    <s v="Procafecol"/>
    <x v="1"/>
    <n v="40600037"/>
    <n v="72897"/>
    <x v="78"/>
    <x v="0"/>
    <x v="0"/>
    <m/>
    <n v="10"/>
    <n v="2"/>
  </r>
  <r>
    <s v="Mtto"/>
    <x v="0"/>
    <x v="0"/>
    <s v="Procafecol"/>
    <x v="1"/>
    <n v="40600037"/>
    <n v="72543"/>
    <x v="1"/>
    <x v="1"/>
    <x v="1"/>
    <m/>
    <n v="50"/>
    <n v="10"/>
  </r>
  <r>
    <s v="Mtto"/>
    <x v="0"/>
    <x v="0"/>
    <s v="Procafecol"/>
    <x v="1"/>
    <n v="40600037"/>
    <n v="72543"/>
    <x v="2"/>
    <x v="1"/>
    <x v="2"/>
    <m/>
    <n v="50"/>
    <n v="10"/>
  </r>
  <r>
    <s v="Mtto"/>
    <x v="0"/>
    <x v="0"/>
    <s v="Procafecol"/>
    <x v="1"/>
    <n v="40600037"/>
    <n v="72867"/>
    <x v="3"/>
    <x v="1"/>
    <x v="3"/>
    <m/>
    <n v="10"/>
    <n v="3"/>
  </r>
  <r>
    <s v="Mtto"/>
    <x v="0"/>
    <x v="0"/>
    <s v="Procafecol"/>
    <x v="1"/>
    <n v="40600037"/>
    <n v="72984"/>
    <x v="4"/>
    <x v="1"/>
    <x v="4"/>
    <m/>
    <n v="25"/>
    <n v="5"/>
  </r>
  <r>
    <s v="Mtto"/>
    <x v="0"/>
    <x v="1"/>
    <s v="Procafecol"/>
    <x v="1"/>
    <n v="40600037"/>
    <n v="70730"/>
    <x v="73"/>
    <x v="14"/>
    <x v="61"/>
    <m/>
    <n v="3"/>
    <n v="1"/>
  </r>
  <r>
    <s v="Mtto"/>
    <x v="0"/>
    <x v="1"/>
    <s v="Procafecol"/>
    <x v="1"/>
    <n v="40600037"/>
    <n v="70728"/>
    <x v="74"/>
    <x v="14"/>
    <x v="62"/>
    <m/>
    <n v="2"/>
    <n v="1"/>
  </r>
  <r>
    <s v="Mtto"/>
    <x v="0"/>
    <x v="1"/>
    <s v="Procafecol"/>
    <x v="1"/>
    <n v="40600037"/>
    <n v="70810"/>
    <x v="75"/>
    <x v="14"/>
    <x v="63"/>
    <m/>
    <n v="10"/>
    <n v="5"/>
  </r>
  <r>
    <s v="Mtto"/>
    <x v="0"/>
    <x v="1"/>
    <s v="Procafecol"/>
    <x v="1"/>
    <n v="40600037"/>
    <n v="70740"/>
    <x v="76"/>
    <x v="14"/>
    <x v="64"/>
    <m/>
    <n v="5"/>
    <n v="2"/>
  </r>
  <r>
    <s v="Mtto"/>
    <x v="0"/>
    <x v="1"/>
    <s v="Procafecol"/>
    <x v="1"/>
    <n v="40600037"/>
    <n v="78354"/>
    <x v="7"/>
    <x v="3"/>
    <x v="7"/>
    <m/>
    <n v="1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BFB96-A20C-4987-99E2-CD949EF3C29A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" rowHeaderCaption="Stock Inventarios Corporativos">
  <location ref="B4:D17" firstHeaderRow="0" firstDataRow="1" firstDataCol="1" rowPageCount="1" colPageCount="1"/>
  <pivotFields count="13">
    <pivotField showAll="0"/>
    <pivotField axis="axisPage" multipleItemSelectionAllowed="1" showAll="0">
      <items count="4">
        <item x="2"/>
        <item x="0"/>
        <item x="1"/>
        <item t="default"/>
      </items>
    </pivotField>
    <pivotField axis="axisRow" showAll="0">
      <items count="4">
        <item sd="0" x="0"/>
        <item sd="0" x="1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87">
        <item sd="0" x="52"/>
        <item x="2"/>
        <item sd="0" x="1"/>
        <item sd="0" x="56"/>
        <item sd="0" x="24"/>
        <item sd="0" x="9"/>
        <item sd="0" x="55"/>
        <item sd="0" x="60"/>
        <item sd="0" x="8"/>
        <item sd="0" x="6"/>
        <item sd="0" x="5"/>
        <item sd="0" x="19"/>
        <item sd="0" x="64"/>
        <item sd="0" x="61"/>
        <item sd="0" x="51"/>
        <item sd="0" x="66"/>
        <item sd="0" m="1" x="80"/>
        <item sd="0" m="1" x="81"/>
        <item sd="0" m="1" x="82"/>
        <item sd="0" m="1" x="83"/>
        <item sd="0" m="1" x="79"/>
        <item sd="0" m="1" x="84"/>
        <item sd="0" x="65"/>
        <item sd="0" x="11"/>
        <item sd="0" x="10"/>
        <item sd="0" x="71"/>
        <item sd="0" x="21"/>
        <item sd="0" x="4"/>
        <item sd="0" x="3"/>
        <item sd="0" x="12"/>
        <item sd="0" x="76"/>
        <item sd="0" x="74"/>
        <item sd="0" x="73"/>
        <item sd="0" x="75"/>
        <item sd="0" x="57"/>
        <item sd="0" x="63"/>
        <item sd="0" x="77"/>
        <item sd="0" x="78"/>
        <item sd="0" x="58"/>
        <item sd="0" m="1" x="85"/>
        <item sd="0" x="13"/>
        <item sd="0" x="70"/>
        <item sd="0" x="69"/>
        <item sd="0" x="59"/>
        <item sd="0" x="62"/>
        <item sd="0" x="50"/>
        <item sd="0" x="53"/>
        <item x="67"/>
        <item sd="0" x="0"/>
        <item sd="0" x="54"/>
        <item sd="0" x="68"/>
        <item sd="0" x="7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14"/>
        <item sd="0" x="15"/>
        <item sd="0" x="16"/>
        <item sd="0" x="17"/>
        <item sd="0" x="18"/>
        <item sd="0" x="20"/>
        <item sd="0" x="22"/>
        <item sd="0" x="23"/>
        <item sd="0" x="25"/>
        <item sd="0" x="26"/>
        <item sd="0" x="27"/>
        <item sd="0" x="28"/>
        <item sd="0" x="29"/>
        <item sd="0" x="30"/>
        <item sd="0" x="31"/>
        <item sd="0" x="7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sd="0" x="2"/>
        <item sd="0" x="4"/>
        <item sd="0" x="7"/>
        <item x="1"/>
        <item sd="0" x="10"/>
        <item sd="0" x="14"/>
        <item sd="0" x="13"/>
        <item sd="0" x="12"/>
        <item sd="0" x="9"/>
        <item sd="0" x="0"/>
        <item sd="0" x="11"/>
        <item sd="0" x="5"/>
        <item sd="0" x="3"/>
        <item sd="0" x="6"/>
        <item sd="0" x="8"/>
        <item t="default" sd="0"/>
      </items>
    </pivotField>
    <pivotField axis="axisRow" showAll="0">
      <items count="67">
        <item x="52"/>
        <item x="44"/>
        <item x="28"/>
        <item x="64"/>
        <item x="63"/>
        <item x="2"/>
        <item x="1"/>
        <item x="3"/>
        <item x="42"/>
        <item x="35"/>
        <item x="55"/>
        <item x="53"/>
        <item x="36"/>
        <item x="17"/>
        <item x="4"/>
        <item x="54"/>
        <item x="10"/>
        <item x="19"/>
        <item x="8"/>
        <item x="9"/>
        <item x="34"/>
        <item x="37"/>
        <item x="47"/>
        <item x="13"/>
        <item x="49"/>
        <item x="0"/>
        <item x="39"/>
        <item x="41"/>
        <item x="51"/>
        <item x="32"/>
        <item x="43"/>
        <item x="62"/>
        <item x="61"/>
        <item x="40"/>
        <item x="48"/>
        <item x="50"/>
        <item x="38"/>
        <item x="18"/>
        <item x="45"/>
        <item x="12"/>
        <item x="58"/>
        <item x="57"/>
        <item x="15"/>
        <item x="59"/>
        <item x="46"/>
        <item x="16"/>
        <item x="65"/>
        <item x="20"/>
        <item x="56"/>
        <item x="7"/>
        <item x="31"/>
        <item x="33"/>
        <item x="30"/>
        <item x="29"/>
        <item x="5"/>
        <item x="6"/>
        <item x="11"/>
        <item x="14"/>
        <item x="21"/>
        <item x="22"/>
        <item x="23"/>
        <item x="24"/>
        <item x="25"/>
        <item x="26"/>
        <item x="27"/>
        <item x="60"/>
        <item t="default"/>
      </items>
    </pivotField>
    <pivotField showAll="0"/>
    <pivotField dataField="1" showAll="0"/>
    <pivotField dataField="1" showAll="0"/>
  </pivotFields>
  <rowFields count="5">
    <field x="4"/>
    <field x="2"/>
    <field x="7"/>
    <field x="8"/>
    <field x="9"/>
  </rowFields>
  <rowItems count="13">
    <i>
      <x/>
    </i>
    <i r="1">
      <x/>
    </i>
    <i r="1">
      <x v="1"/>
    </i>
    <i r="1">
      <x v="2"/>
    </i>
    <i r="2">
      <x v="68"/>
    </i>
    <i r="2">
      <x v="65"/>
    </i>
    <i r="2">
      <x v="69"/>
    </i>
    <i r="2">
      <x v="66"/>
    </i>
    <i r="2">
      <x v="67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a de Stock" fld="11" baseField="0" baseItem="0"/>
    <dataField name="Suma de Punto de recompra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CEB75-D24B-481E-A9A1-D34FCE8443B0}" name="Tabla1" displayName="Tabla1" ref="B2:Q18" totalsRowShown="0" headerRowDxfId="78" dataDxfId="76" headerRowBorderDxfId="77" tableBorderDxfId="75" totalsRowBorderDxfId="74">
  <autoFilter ref="B2:Q18" xr:uid="{0BBCEB75-D24B-481E-A9A1-D34FCE8443B0}"/>
  <tableColumns count="16">
    <tableColumn id="1" xr3:uid="{2FE5F3A9-904A-4AF8-9A4A-A5788D89D572}" name="SES" dataDxfId="73"/>
    <tableColumn id="2" xr3:uid="{A18EE460-5257-474A-94D2-CFBB399722D5}" name="COMERCIAL" dataDxfId="72"/>
    <tableColumn id="3" xr3:uid="{E37DE087-C337-4281-A34E-7EA8CE3DAA39}" name="SISTEMA" dataDxfId="71"/>
    <tableColumn id="4" xr3:uid="{75A14012-0EA1-4E7A-AB59-DE832D4D63A4}" name="CORPORATIVO" dataDxfId="70"/>
    <tableColumn id="5" xr3:uid="{871E7F8B-7450-4E36-B3F9-AF561FC76C49}" name="SECURITAS" dataDxfId="69"/>
    <tableColumn id="6" xr3:uid="{5E3C1CCB-0503-4EC3-96B5-B21447628764}" name="CECO COMPRA" dataDxfId="68"/>
    <tableColumn id="7" xr3:uid="{432D5827-4908-40AD-B482-E3D90C434665}" name="CÓDIGO" dataDxfId="67"/>
    <tableColumn id="8" xr3:uid="{2A489671-8557-40EF-AAAC-96550F3227AA}" name="ITEM" dataDxfId="66"/>
    <tableColumn id="9" xr3:uid="{02FC6E3D-3580-4FB0-8626-4DA82B39A9B8}" name="MARCA" dataDxfId="65"/>
    <tableColumn id="10" xr3:uid="{5EFD06E8-5338-4A81-914C-69497F0A4602}" name="REFERENCIA" dataDxfId="64"/>
    <tableColumn id="12" xr3:uid="{27BEBE7F-8767-43B4-ABFF-A94EED3E9200}" name="COMPRA MÁXIMA" dataDxfId="63"/>
    <tableColumn id="13" xr3:uid="{D98B473A-30DC-47D3-AB8C-C9EA04EAE92F}" name="PUNTO DE RECOMPRA" dataDxfId="62"/>
    <tableColumn id="14" xr3:uid="{2B2125FA-FEE1-45BB-99A3-F6B3F571D33E}" name="SALIDA DE EQUIPOS" dataDxfId="61"/>
    <tableColumn id="15" xr3:uid="{183ACBD4-A38E-44D9-88D6-1B28642824D5}" name="STOCK ACTUAL " dataDxfId="60"/>
    <tableColumn id="16" xr3:uid="{707ECFE0-93C8-4D59-99E5-9E115688C82F}" name="SOLICITUD DE COMPRA" dataDxfId="59">
      <calculatedColumnFormula>L3-O3</calculatedColumnFormula>
    </tableColumn>
    <tableColumn id="17" xr3:uid="{1D347A1A-B3D9-4958-A08B-4C1E759AFB8D}" name="Columna1" dataDxfId="58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53AE4-105C-4332-9C1E-E83FDC0C96D2}" name="Tabla2" displayName="Tabla2" ref="B2:Q35" totalsRowShown="0" headerRowDxfId="57" dataDxfId="55" headerRowBorderDxfId="56" tableBorderDxfId="54" totalsRowBorderDxfId="53">
  <autoFilter ref="B2:Q35" xr:uid="{6DE53AE4-105C-4332-9C1E-E83FDC0C96D2}"/>
  <tableColumns count="16">
    <tableColumn id="1" xr3:uid="{2D957A6C-0C2B-4C78-97B9-21CAB715540D}" name="SES" dataDxfId="52"/>
    <tableColumn id="2" xr3:uid="{F11210AA-C68E-4457-B602-057C7436A3A4}" name="COMERCIAL" dataDxfId="51"/>
    <tableColumn id="3" xr3:uid="{89C9F575-80B9-4338-A0F5-A6AE63319494}" name="SISTEMA" dataDxfId="50"/>
    <tableColumn id="4" xr3:uid="{290440F1-796E-4F46-B098-BCC94E3487C1}" name="CORPORATIVO" dataDxfId="49"/>
    <tableColumn id="5" xr3:uid="{F2AE9517-1FAE-4D77-B433-A6C813F0A3C4}" name="SECURITAS" dataDxfId="48"/>
    <tableColumn id="6" xr3:uid="{A4C1AA93-CE31-4CEF-903E-E8424D908BBE}" name="SECO COMPRA" dataDxfId="47"/>
    <tableColumn id="7" xr3:uid="{BEBC5700-450F-41F2-A062-0B3D64D8CF68}" name="CÓDIGO" dataDxfId="46"/>
    <tableColumn id="8" xr3:uid="{2C766EC9-FCC7-43AB-A27E-2DE8B62A58B3}" name="ITEM" dataDxfId="45"/>
    <tableColumn id="9" xr3:uid="{F2BE0087-10F6-401E-8843-5FFD9E4E6976}" name="MARCA" dataDxfId="44"/>
    <tableColumn id="10" xr3:uid="{D0DC1FBE-1F9C-4AA7-8E92-07C98EBD4BCA}" name="REFERENCIA" dataDxfId="43"/>
    <tableColumn id="11" xr3:uid="{D7AC112B-579D-4554-B52D-0A4B8A9F2C78}" name="CANTIDAD EN ALMACÉN" dataDxfId="42"/>
    <tableColumn id="12" xr3:uid="{BFE205FA-3F3D-4C16-94B9-43134D442F96}" name="STOCK" dataDxfId="41"/>
    <tableColumn id="13" xr3:uid="{FF513E4E-F63D-4294-A144-4165EA05934A}" name="PUNTO DE RECOMPRA" dataDxfId="40"/>
    <tableColumn id="14" xr3:uid="{516CEDA5-906B-4D9E-98E1-67E98556F972}" name="SALIDA DE EQUIPOS" dataDxfId="39"/>
    <tableColumn id="15" xr3:uid="{432DA24D-4A70-4FB3-87ED-BB6F997D3773}" name="STOCK ACTUAL" dataDxfId="38"/>
    <tableColumn id="16" xr3:uid="{08DBC1E5-8981-4B1C-850B-74CD1B92B694}" name="SOLICITUD DE COMPRA" dataDxfId="37">
      <calculatedColumnFormula>M3-P3</calculatedColumnFormula>
    </tableColumn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0FD371-B122-4D56-B919-E94FB0866559}" name="Tabla3" displayName="Tabla3" ref="B2:N34" totalsRowShown="0" headerRowDxfId="36" headerRowBorderDxfId="35" tableBorderDxfId="34" totalsRowBorderDxfId="33">
  <autoFilter ref="B2:N34" xr:uid="{440FD371-B122-4D56-B919-E94FB0866559}"/>
  <tableColumns count="13">
    <tableColumn id="1" xr3:uid="{0FACFF4A-B1AC-4246-83BA-545CE882A472}" name="CORPORATIVO" dataDxfId="32"/>
    <tableColumn id="2" xr3:uid="{3917F7B0-E903-4482-BC99-7632F1C75866}" name="SECURITAS" dataDxfId="31"/>
    <tableColumn id="3" xr3:uid="{B4BEA6F6-0326-4452-AD82-F24C79AA8A97}" name="CECO COMPRA" dataDxfId="30"/>
    <tableColumn id="4" xr3:uid="{C2D7305A-DA18-4CA4-981A-1453D2F2B6C3}" name="CÓDIGO" dataDxfId="29"/>
    <tableColumn id="5" xr3:uid="{2F327ED4-EBA7-4B8E-B0DA-96BF7C9DFD8E}" name="ITEM" dataDxfId="28"/>
    <tableColumn id="6" xr3:uid="{B9F892E9-7E31-4114-A1C4-F049FF9475B4}" name="MARCA" dataDxfId="27"/>
    <tableColumn id="7" xr3:uid="{BF15E3BD-10F7-4590-937F-014F1E4553C9}" name="REFERENCIA" dataDxfId="26"/>
    <tableColumn id="8" xr3:uid="{9A5B9FAC-CB42-4447-B21E-2DF77B0DF2C3}" name="CANTIDAD EN ALMACÉN" dataDxfId="25"/>
    <tableColumn id="9" xr3:uid="{AA7D166B-24EC-4F22-8A02-07769B6C3823}" name="STOCK" dataDxfId="24"/>
    <tableColumn id="10" xr3:uid="{A24E27C2-D057-4F47-AD49-9DFF5AB924C1}" name="PUNTO DE RECOMPRA" dataDxfId="23"/>
    <tableColumn id="11" xr3:uid="{EFDD24CD-AAD8-49B2-A381-3A50CA85323F}" name="SALIDA DE EQUIPOS" dataDxfId="22"/>
    <tableColumn id="12" xr3:uid="{67E7E5BB-0184-4E7C-98B7-B719D728FCA4}" name="STOCK ACTUAL" dataDxfId="21"/>
    <tableColumn id="13" xr3:uid="{C0EC6334-0426-4E2D-A375-3D37625ADFCA}" name="SOLICITUD DE COMPRA" dataDxfId="20">
      <calculatedColumnFormula>J3-M3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3A18E-99B2-4846-BFB6-AAFFFF145F62}" name="Tabla5" displayName="Tabla5" ref="B2:Q20" totalsRowShown="0" headerRowDxfId="19" headerRowBorderDxfId="18" tableBorderDxfId="17" totalsRowBorderDxfId="16">
  <autoFilter ref="B2:Q20" xr:uid="{61B3A18E-99B2-4846-BFB6-AAFFFF145F62}"/>
  <tableColumns count="16">
    <tableColumn id="1" xr3:uid="{9A09E733-8748-46D3-A7F8-9C3217DFDA39}" name="SES" dataDxfId="15"/>
    <tableColumn id="2" xr3:uid="{DF61D117-D35A-4F7F-8744-44E960578B02}" name="COMERCIAL" dataDxfId="14"/>
    <tableColumn id="3" xr3:uid="{1257FAB5-A6ED-4C36-B058-FF5FDD3DA55E}" name="SISTEMA" dataDxfId="13"/>
    <tableColumn id="4" xr3:uid="{15E896A5-4FBD-40DA-9A3C-793F97090C5F}" name="CORPORATIVO" dataDxfId="12"/>
    <tableColumn id="5" xr3:uid="{908F7E8C-A8DF-43CF-892F-1444986D4888}" name="SECURITAS" dataDxfId="11"/>
    <tableColumn id="6" xr3:uid="{DC9F93A7-4D62-43D9-BB13-4F179BF41C6C}" name="CECO COMPRA" dataDxfId="10"/>
    <tableColumn id="7" xr3:uid="{FFB6D951-CD6C-44CB-A30C-E82EFA0B5D76}" name="CÓDIGO" dataDxfId="9"/>
    <tableColumn id="8" xr3:uid="{0E5C8E43-4A95-4F2B-BC3A-9E65FC4BED58}" name="ITEM" dataDxfId="8"/>
    <tableColumn id="9" xr3:uid="{18289224-8FFF-4C18-828B-59AFD9EB1524}" name="MARCA" dataDxfId="7"/>
    <tableColumn id="10" xr3:uid="{477B8643-1111-4A95-AA90-785BB17B69B9}" name="REFERENCIA" dataDxfId="6"/>
    <tableColumn id="11" xr3:uid="{43F6C03E-BF07-4F03-AC70-0E6C66E647BA}" name="CANTIDAD EN ALMACÉN" dataDxfId="5"/>
    <tableColumn id="12" xr3:uid="{CA9EFC25-D4F4-4536-AE87-4CDC44CC06FC}" name="STOC" dataDxfId="4"/>
    <tableColumn id="13" xr3:uid="{1FDC6848-DCCA-42FA-9218-9233B08DAFC7}" name="PUNTO DE RECOMPRA" dataDxfId="3"/>
    <tableColumn id="14" xr3:uid="{C636E1CE-06D2-4F5D-A028-733A361859A7}" name="SALIDA DE EQUIPOS" dataDxfId="2"/>
    <tableColumn id="15" xr3:uid="{4477F89E-0EEA-4AEC-B3C9-05821F863957}" name="STOCK ACTUAL" dataDxfId="1"/>
    <tableColumn id="16" xr3:uid="{00DA4DE7-BC97-4CA1-A807-D87E7F6AB74B}" name="SOLICITUD DE COMPRA" dataDxfId="0">
      <calculatedColumnFormula>M3-P3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8CE8-D992-4AC0-AF0C-8C157FB3817F}">
  <dimension ref="B2:R18"/>
  <sheetViews>
    <sheetView topLeftCell="E1" zoomScale="80" zoomScaleNormal="80" workbookViewId="0">
      <selection activeCell="M7" sqref="M7"/>
    </sheetView>
  </sheetViews>
  <sheetFormatPr baseColWidth="10" defaultColWidth="11.44140625" defaultRowHeight="14.4"/>
  <cols>
    <col min="2" max="2" width="14.33203125" customWidth="1"/>
    <col min="3" max="3" width="21.88671875" customWidth="1"/>
    <col min="4" max="4" width="12.109375" customWidth="1"/>
    <col min="5" max="5" width="15.6640625" customWidth="1"/>
    <col min="6" max="6" width="12.5546875" customWidth="1"/>
    <col min="7" max="7" width="17.33203125" customWidth="1"/>
    <col min="8" max="8" width="13" customWidth="1"/>
    <col min="9" max="9" width="132.5546875" customWidth="1"/>
    <col min="10" max="10" width="18.44140625" bestFit="1" customWidth="1"/>
    <col min="11" max="11" width="13.6640625" customWidth="1"/>
    <col min="12" max="12" width="18.6640625" customWidth="1"/>
    <col min="13" max="13" width="22.6640625" customWidth="1"/>
    <col min="14" max="14" width="17.33203125" customWidth="1"/>
    <col min="15" max="15" width="15.109375" customWidth="1"/>
    <col min="16" max="16" width="19.44140625" customWidth="1"/>
  </cols>
  <sheetData>
    <row r="2" spans="2:18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3" t="s">
        <v>14</v>
      </c>
      <c r="Q2" s="12" t="s">
        <v>15</v>
      </c>
    </row>
    <row r="3" spans="2:18">
      <c r="B3" s="9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>
        <v>40500040</v>
      </c>
      <c r="H3" s="5">
        <v>70730</v>
      </c>
      <c r="I3" s="7" t="s">
        <v>21</v>
      </c>
      <c r="J3" s="5" t="s">
        <v>22</v>
      </c>
      <c r="K3" s="5" t="s">
        <v>23</v>
      </c>
      <c r="L3" s="5">
        <v>5</v>
      </c>
      <c r="M3" s="5">
        <v>2</v>
      </c>
      <c r="N3" s="6">
        <v>0</v>
      </c>
      <c r="O3" s="5">
        <v>14</v>
      </c>
      <c r="P3" s="10">
        <f>L3-O3</f>
        <v>-9</v>
      </c>
      <c r="Q3" s="28"/>
    </row>
    <row r="4" spans="2:18">
      <c r="B4" s="9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>
        <v>40500040</v>
      </c>
      <c r="H4" s="5">
        <v>70728</v>
      </c>
      <c r="I4" s="7" t="s">
        <v>24</v>
      </c>
      <c r="J4" s="5" t="s">
        <v>22</v>
      </c>
      <c r="K4" s="5" t="s">
        <v>25</v>
      </c>
      <c r="L4" s="5">
        <v>2</v>
      </c>
      <c r="M4" s="5">
        <v>1</v>
      </c>
      <c r="N4" s="6">
        <v>0</v>
      </c>
      <c r="O4" s="5">
        <v>4</v>
      </c>
      <c r="P4" s="10">
        <f t="shared" ref="P4:P18" si="0">L4-O4</f>
        <v>-2</v>
      </c>
      <c r="Q4" s="5"/>
    </row>
    <row r="5" spans="2:18">
      <c r="B5" s="9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>
        <v>40500040</v>
      </c>
      <c r="H5" s="5">
        <v>70810</v>
      </c>
      <c r="I5" s="7" t="s">
        <v>26</v>
      </c>
      <c r="J5" s="5" t="s">
        <v>22</v>
      </c>
      <c r="K5" s="5" t="s">
        <v>27</v>
      </c>
      <c r="L5" s="5">
        <v>20</v>
      </c>
      <c r="M5" s="5">
        <v>6</v>
      </c>
      <c r="N5" s="6">
        <v>0</v>
      </c>
      <c r="O5" s="5">
        <v>54</v>
      </c>
      <c r="P5" s="10">
        <f t="shared" si="0"/>
        <v>-34</v>
      </c>
      <c r="Q5" s="5"/>
    </row>
    <row r="6" spans="2:18">
      <c r="B6" s="9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>
        <v>40500040</v>
      </c>
      <c r="H6" s="5">
        <v>70740</v>
      </c>
      <c r="I6" s="7" t="s">
        <v>28</v>
      </c>
      <c r="J6" s="5" t="s">
        <v>22</v>
      </c>
      <c r="K6" s="5" t="s">
        <v>29</v>
      </c>
      <c r="L6" s="5">
        <v>3</v>
      </c>
      <c r="M6" s="5">
        <v>1</v>
      </c>
      <c r="N6" s="6">
        <v>0</v>
      </c>
      <c r="O6" s="5">
        <v>14</v>
      </c>
      <c r="P6" s="10">
        <f t="shared" si="0"/>
        <v>-11</v>
      </c>
      <c r="Q6" s="5"/>
    </row>
    <row r="7" spans="2:18">
      <c r="B7" s="9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>
        <v>40500040</v>
      </c>
      <c r="H7" s="5">
        <v>78354</v>
      </c>
      <c r="I7" s="7" t="s">
        <v>30</v>
      </c>
      <c r="J7" s="5" t="s">
        <v>31</v>
      </c>
      <c r="K7" s="5" t="s">
        <v>32</v>
      </c>
      <c r="L7" s="5">
        <v>10</v>
      </c>
      <c r="M7" s="5">
        <v>2</v>
      </c>
      <c r="N7" s="6">
        <v>10</v>
      </c>
      <c r="O7" s="5">
        <f t="shared" ref="O7:O18" si="1">L7-N7</f>
        <v>0</v>
      </c>
      <c r="P7" s="10">
        <f t="shared" si="0"/>
        <v>10</v>
      </c>
      <c r="Q7" s="5"/>
    </row>
    <row r="8" spans="2:18">
      <c r="B8" s="9" t="s">
        <v>33</v>
      </c>
      <c r="C8" s="5" t="s">
        <v>34</v>
      </c>
      <c r="D8" s="5" t="s">
        <v>35</v>
      </c>
      <c r="E8" s="5" t="s">
        <v>19</v>
      </c>
      <c r="F8" s="5" t="s">
        <v>20</v>
      </c>
      <c r="G8" s="5">
        <v>40600037</v>
      </c>
      <c r="H8" s="5">
        <v>72932</v>
      </c>
      <c r="I8" s="7" t="s">
        <v>36</v>
      </c>
      <c r="J8" s="5" t="s">
        <v>37</v>
      </c>
      <c r="K8" s="5" t="s">
        <v>38</v>
      </c>
      <c r="L8" s="5">
        <v>5</v>
      </c>
      <c r="M8" s="5">
        <v>2</v>
      </c>
      <c r="N8" s="6">
        <v>5</v>
      </c>
      <c r="O8" s="5">
        <v>0</v>
      </c>
      <c r="P8" s="10">
        <f t="shared" si="0"/>
        <v>5</v>
      </c>
      <c r="Q8" s="5"/>
    </row>
    <row r="9" spans="2:18">
      <c r="B9" s="9" t="s">
        <v>33</v>
      </c>
      <c r="C9" s="5" t="s">
        <v>34</v>
      </c>
      <c r="D9" s="5" t="s">
        <v>35</v>
      </c>
      <c r="E9" s="5" t="s">
        <v>19</v>
      </c>
      <c r="F9" s="5" t="s">
        <v>20</v>
      </c>
      <c r="G9" s="5">
        <v>40600037</v>
      </c>
      <c r="H9" s="5">
        <v>72897</v>
      </c>
      <c r="I9" s="7" t="s">
        <v>39</v>
      </c>
      <c r="J9" s="5" t="s">
        <v>40</v>
      </c>
      <c r="K9" s="5" t="s">
        <v>41</v>
      </c>
      <c r="L9" s="5">
        <v>10</v>
      </c>
      <c r="M9" s="5">
        <v>2</v>
      </c>
      <c r="N9" s="6">
        <v>8</v>
      </c>
      <c r="O9" s="5">
        <v>2</v>
      </c>
      <c r="P9" s="10">
        <f t="shared" si="0"/>
        <v>8</v>
      </c>
      <c r="Q9" s="5"/>
    </row>
    <row r="10" spans="2:18">
      <c r="B10" s="9" t="s">
        <v>33</v>
      </c>
      <c r="C10" s="5" t="s">
        <v>34</v>
      </c>
      <c r="D10" s="5" t="s">
        <v>35</v>
      </c>
      <c r="E10" s="5" t="s">
        <v>19</v>
      </c>
      <c r="F10" s="5" t="s">
        <v>20</v>
      </c>
      <c r="G10" s="5">
        <v>40600037</v>
      </c>
      <c r="H10" s="5">
        <v>72543</v>
      </c>
      <c r="I10" s="7" t="s">
        <v>42</v>
      </c>
      <c r="J10" s="5" t="s">
        <v>43</v>
      </c>
      <c r="K10" s="5" t="s">
        <v>44</v>
      </c>
      <c r="L10" s="5">
        <v>50</v>
      </c>
      <c r="M10" s="5">
        <v>10</v>
      </c>
      <c r="N10" s="6">
        <v>50</v>
      </c>
      <c r="O10" s="5">
        <v>0</v>
      </c>
      <c r="P10" s="10">
        <f t="shared" si="0"/>
        <v>50</v>
      </c>
      <c r="Q10" s="5" t="s">
        <v>45</v>
      </c>
    </row>
    <row r="11" spans="2:18">
      <c r="B11" s="9" t="s">
        <v>33</v>
      </c>
      <c r="C11" s="5" t="s">
        <v>34</v>
      </c>
      <c r="D11" s="5" t="s">
        <v>35</v>
      </c>
      <c r="E11" s="5" t="s">
        <v>19</v>
      </c>
      <c r="F11" s="5" t="s">
        <v>20</v>
      </c>
      <c r="G11" s="5">
        <v>40600037</v>
      </c>
      <c r="H11" s="5">
        <v>72543</v>
      </c>
      <c r="I11" s="7" t="s">
        <v>46</v>
      </c>
      <c r="J11" s="5" t="s">
        <v>43</v>
      </c>
      <c r="K11" s="5" t="s">
        <v>47</v>
      </c>
      <c r="L11" s="5">
        <v>50</v>
      </c>
      <c r="M11" s="5">
        <v>10</v>
      </c>
      <c r="N11" s="6">
        <v>50</v>
      </c>
      <c r="O11" s="5">
        <f t="shared" si="1"/>
        <v>0</v>
      </c>
      <c r="P11" s="10">
        <f t="shared" si="0"/>
        <v>50</v>
      </c>
      <c r="Q11" s="5"/>
    </row>
    <row r="12" spans="2:18">
      <c r="B12" s="9" t="s">
        <v>33</v>
      </c>
      <c r="C12" s="5" t="s">
        <v>34</v>
      </c>
      <c r="D12" s="5" t="s">
        <v>35</v>
      </c>
      <c r="E12" s="5" t="s">
        <v>19</v>
      </c>
      <c r="F12" s="5" t="s">
        <v>20</v>
      </c>
      <c r="G12" s="5">
        <v>40600037</v>
      </c>
      <c r="H12" s="5">
        <v>72867</v>
      </c>
      <c r="I12" s="7" t="s">
        <v>48</v>
      </c>
      <c r="J12" s="5" t="s">
        <v>43</v>
      </c>
      <c r="K12" s="5" t="s">
        <v>49</v>
      </c>
      <c r="L12" s="5">
        <v>10</v>
      </c>
      <c r="M12" s="5">
        <v>3</v>
      </c>
      <c r="N12" s="6">
        <v>0</v>
      </c>
      <c r="O12" s="5">
        <v>23</v>
      </c>
      <c r="P12" s="10">
        <f t="shared" si="0"/>
        <v>-13</v>
      </c>
      <c r="Q12" s="5"/>
    </row>
    <row r="13" spans="2:18">
      <c r="B13" s="9" t="s">
        <v>33</v>
      </c>
      <c r="C13" s="5" t="s">
        <v>34</v>
      </c>
      <c r="D13" s="5" t="s">
        <v>35</v>
      </c>
      <c r="E13" s="5" t="s">
        <v>19</v>
      </c>
      <c r="F13" s="5" t="s">
        <v>20</v>
      </c>
      <c r="G13" s="5">
        <v>40600037</v>
      </c>
      <c r="H13" s="5">
        <v>72984</v>
      </c>
      <c r="I13" s="7" t="s">
        <v>50</v>
      </c>
      <c r="J13" s="5" t="s">
        <v>43</v>
      </c>
      <c r="K13" s="5" t="s">
        <v>51</v>
      </c>
      <c r="L13" s="5">
        <v>25</v>
      </c>
      <c r="M13" s="5">
        <v>5</v>
      </c>
      <c r="N13" s="6">
        <v>0</v>
      </c>
      <c r="O13" s="5">
        <f t="shared" si="1"/>
        <v>25</v>
      </c>
      <c r="P13" s="10">
        <f t="shared" si="0"/>
        <v>0</v>
      </c>
      <c r="Q13" s="5" t="s">
        <v>52</v>
      </c>
      <c r="R13" t="s">
        <v>53</v>
      </c>
    </row>
    <row r="14" spans="2:18">
      <c r="B14" s="9" t="s">
        <v>33</v>
      </c>
      <c r="C14" s="5" t="s">
        <v>34</v>
      </c>
      <c r="D14" s="5" t="s">
        <v>18</v>
      </c>
      <c r="E14" s="5" t="s">
        <v>19</v>
      </c>
      <c r="F14" s="5" t="s">
        <v>20</v>
      </c>
      <c r="G14" s="5">
        <v>40600037</v>
      </c>
      <c r="H14" s="5">
        <v>70730</v>
      </c>
      <c r="I14" s="7" t="s">
        <v>21</v>
      </c>
      <c r="J14" s="5" t="s">
        <v>22</v>
      </c>
      <c r="K14" s="5" t="s">
        <v>23</v>
      </c>
      <c r="L14" s="5">
        <v>3</v>
      </c>
      <c r="M14" s="5">
        <v>1</v>
      </c>
      <c r="N14" s="6">
        <v>0</v>
      </c>
      <c r="O14" s="5">
        <v>14</v>
      </c>
      <c r="P14" s="10">
        <f t="shared" si="0"/>
        <v>-11</v>
      </c>
      <c r="Q14" s="5"/>
    </row>
    <row r="15" spans="2:18">
      <c r="B15" s="9" t="s">
        <v>33</v>
      </c>
      <c r="C15" s="5" t="s">
        <v>34</v>
      </c>
      <c r="D15" s="5" t="s">
        <v>18</v>
      </c>
      <c r="E15" s="5" t="s">
        <v>19</v>
      </c>
      <c r="F15" s="5" t="s">
        <v>20</v>
      </c>
      <c r="G15" s="5">
        <v>40600037</v>
      </c>
      <c r="H15" s="5">
        <v>70728</v>
      </c>
      <c r="I15" s="7" t="s">
        <v>24</v>
      </c>
      <c r="J15" s="5" t="s">
        <v>22</v>
      </c>
      <c r="K15" s="5" t="s">
        <v>25</v>
      </c>
      <c r="L15" s="5">
        <v>2</v>
      </c>
      <c r="M15" s="5">
        <v>1</v>
      </c>
      <c r="N15" s="6">
        <v>0</v>
      </c>
      <c r="O15" s="5">
        <v>4</v>
      </c>
      <c r="P15" s="10">
        <f t="shared" si="0"/>
        <v>-2</v>
      </c>
      <c r="Q15" s="5"/>
    </row>
    <row r="16" spans="2:18">
      <c r="B16" s="9" t="s">
        <v>33</v>
      </c>
      <c r="C16" s="5" t="s">
        <v>34</v>
      </c>
      <c r="D16" s="5" t="s">
        <v>18</v>
      </c>
      <c r="E16" s="5" t="s">
        <v>19</v>
      </c>
      <c r="F16" s="5" t="s">
        <v>20</v>
      </c>
      <c r="G16" s="5">
        <v>40600037</v>
      </c>
      <c r="H16" s="5">
        <v>70810</v>
      </c>
      <c r="I16" s="7" t="s">
        <v>26</v>
      </c>
      <c r="J16" s="5" t="s">
        <v>22</v>
      </c>
      <c r="K16" s="5" t="s">
        <v>27</v>
      </c>
      <c r="L16" s="5">
        <v>10</v>
      </c>
      <c r="M16" s="5">
        <v>5</v>
      </c>
      <c r="N16" s="6">
        <v>0</v>
      </c>
      <c r="O16" s="5">
        <v>54</v>
      </c>
      <c r="P16" s="10">
        <f t="shared" si="0"/>
        <v>-44</v>
      </c>
      <c r="Q16" s="5"/>
    </row>
    <row r="17" spans="2:17">
      <c r="B17" s="9" t="s">
        <v>33</v>
      </c>
      <c r="C17" s="5" t="s">
        <v>34</v>
      </c>
      <c r="D17" s="5" t="s">
        <v>18</v>
      </c>
      <c r="E17" s="5" t="s">
        <v>19</v>
      </c>
      <c r="F17" s="5" t="s">
        <v>20</v>
      </c>
      <c r="G17" s="5">
        <v>40600037</v>
      </c>
      <c r="H17" s="5">
        <v>70740</v>
      </c>
      <c r="I17" s="7" t="s">
        <v>28</v>
      </c>
      <c r="J17" s="5" t="s">
        <v>22</v>
      </c>
      <c r="K17" s="5" t="s">
        <v>29</v>
      </c>
      <c r="L17" s="5">
        <v>5</v>
      </c>
      <c r="M17" s="5">
        <v>2</v>
      </c>
      <c r="N17" s="6">
        <v>0</v>
      </c>
      <c r="O17" s="5">
        <v>14</v>
      </c>
      <c r="P17" s="10">
        <f t="shared" si="0"/>
        <v>-9</v>
      </c>
      <c r="Q17" s="5"/>
    </row>
    <row r="18" spans="2:17">
      <c r="B18" s="14" t="s">
        <v>33</v>
      </c>
      <c r="C18" s="15" t="s">
        <v>34</v>
      </c>
      <c r="D18" s="15" t="s">
        <v>18</v>
      </c>
      <c r="E18" s="15" t="s">
        <v>19</v>
      </c>
      <c r="F18" s="15" t="s">
        <v>20</v>
      </c>
      <c r="G18" s="15">
        <v>40600037</v>
      </c>
      <c r="H18" s="15">
        <v>78354</v>
      </c>
      <c r="I18" s="16" t="s">
        <v>30</v>
      </c>
      <c r="J18" s="15" t="s">
        <v>31</v>
      </c>
      <c r="K18" s="15" t="s">
        <v>32</v>
      </c>
      <c r="L18" s="15">
        <v>10</v>
      </c>
      <c r="M18" s="15">
        <v>2</v>
      </c>
      <c r="N18" s="17">
        <v>10</v>
      </c>
      <c r="O18" s="15">
        <f t="shared" si="1"/>
        <v>0</v>
      </c>
      <c r="P18" s="18">
        <f t="shared" si="0"/>
        <v>10</v>
      </c>
      <c r="Q18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1A38-271F-4B37-BCDF-7888401A590E}">
  <dimension ref="B2:Q35"/>
  <sheetViews>
    <sheetView tabSelected="1" topLeftCell="C19" zoomScaleNormal="100" workbookViewId="0">
      <selection activeCell="H20" sqref="H20"/>
    </sheetView>
  </sheetViews>
  <sheetFormatPr baseColWidth="10" defaultColWidth="96.109375" defaultRowHeight="14.4"/>
  <cols>
    <col min="1" max="1" width="3.88671875" style="33" customWidth="1"/>
    <col min="2" max="2" width="11.44140625" style="33" bestFit="1" customWidth="1"/>
    <col min="3" max="3" width="17.33203125" style="33" bestFit="1" customWidth="1"/>
    <col min="4" max="4" width="14.88671875" style="33" bestFit="1" customWidth="1"/>
    <col min="5" max="5" width="20" style="33" bestFit="1" customWidth="1"/>
    <col min="6" max="6" width="16.6640625" style="33" bestFit="1" customWidth="1"/>
    <col min="7" max="7" width="20" style="33" bestFit="1" customWidth="1"/>
    <col min="8" max="8" width="14.33203125" style="33" bestFit="1" customWidth="1"/>
    <col min="9" max="9" width="95.44140625" style="33" customWidth="1"/>
    <col min="10" max="10" width="18.44140625" style="33" bestFit="1" customWidth="1"/>
    <col min="11" max="11" width="20.88671875" style="33" bestFit="1" customWidth="1"/>
    <col min="12" max="12" width="13.44140625" style="33" customWidth="1"/>
    <col min="13" max="13" width="12.88671875" style="33" bestFit="1" customWidth="1"/>
    <col min="14" max="14" width="27.33203125" style="33" bestFit="1" customWidth="1"/>
    <col min="15" max="15" width="25.109375" style="33" bestFit="1" customWidth="1"/>
    <col min="16" max="16" width="20.33203125" style="33" bestFit="1" customWidth="1"/>
    <col min="17" max="17" width="28" style="33" bestFit="1" customWidth="1"/>
    <col min="18" max="16384" width="96.109375" style="33"/>
  </cols>
  <sheetData>
    <row r="2" spans="2:17">
      <c r="B2" s="30" t="s">
        <v>0</v>
      </c>
      <c r="C2" s="31" t="s">
        <v>1</v>
      </c>
      <c r="D2" s="31" t="s">
        <v>2</v>
      </c>
      <c r="E2" s="31" t="s">
        <v>3</v>
      </c>
      <c r="F2" s="31" t="s">
        <v>4</v>
      </c>
      <c r="G2" s="31" t="s">
        <v>54</v>
      </c>
      <c r="H2" s="31" t="s">
        <v>6</v>
      </c>
      <c r="I2" s="31" t="s">
        <v>7</v>
      </c>
      <c r="J2" s="31" t="s">
        <v>8</v>
      </c>
      <c r="K2" s="31" t="s">
        <v>9</v>
      </c>
      <c r="L2" s="31" t="s">
        <v>55</v>
      </c>
      <c r="M2" s="31" t="s">
        <v>56</v>
      </c>
      <c r="N2" s="31" t="s">
        <v>11</v>
      </c>
      <c r="O2" s="31" t="s">
        <v>12</v>
      </c>
      <c r="P2" s="31" t="s">
        <v>57</v>
      </c>
      <c r="Q2" s="32" t="s">
        <v>14</v>
      </c>
    </row>
    <row r="3" spans="2:17">
      <c r="B3" s="34" t="s">
        <v>16</v>
      </c>
      <c r="C3" s="35" t="s">
        <v>17</v>
      </c>
      <c r="D3" s="35" t="s">
        <v>35</v>
      </c>
      <c r="E3" s="35" t="s">
        <v>58</v>
      </c>
      <c r="F3" s="35" t="s">
        <v>59</v>
      </c>
      <c r="G3" s="35">
        <v>40208112</v>
      </c>
      <c r="H3" s="35">
        <v>72564</v>
      </c>
      <c r="I3" s="7" t="s">
        <v>60</v>
      </c>
      <c r="J3" s="35" t="s">
        <v>61</v>
      </c>
      <c r="K3" s="35" t="s">
        <v>62</v>
      </c>
      <c r="L3" s="35"/>
      <c r="M3" s="35">
        <v>10</v>
      </c>
      <c r="N3" s="35">
        <v>5</v>
      </c>
      <c r="O3" s="36">
        <v>0</v>
      </c>
      <c r="P3" s="35">
        <v>10</v>
      </c>
      <c r="Q3" s="37">
        <f>M3-P3</f>
        <v>0</v>
      </c>
    </row>
    <row r="4" spans="2:17">
      <c r="B4" s="34" t="s">
        <v>16</v>
      </c>
      <c r="C4" s="35" t="s">
        <v>17</v>
      </c>
      <c r="D4" s="35" t="s">
        <v>35</v>
      </c>
      <c r="E4" s="35" t="s">
        <v>58</v>
      </c>
      <c r="F4" s="35" t="s">
        <v>59</v>
      </c>
      <c r="G4" s="35">
        <v>40208112</v>
      </c>
      <c r="H4" s="35">
        <v>72691</v>
      </c>
      <c r="I4" s="7" t="s">
        <v>63</v>
      </c>
      <c r="J4" s="35" t="s">
        <v>61</v>
      </c>
      <c r="K4" s="35" t="s">
        <v>64</v>
      </c>
      <c r="L4" s="35"/>
      <c r="M4" s="35">
        <v>10</v>
      </c>
      <c r="N4" s="35">
        <v>5</v>
      </c>
      <c r="O4" s="36">
        <v>6</v>
      </c>
      <c r="P4" s="35">
        <v>0</v>
      </c>
      <c r="Q4" s="37">
        <f>M4-P4</f>
        <v>10</v>
      </c>
    </row>
    <row r="5" spans="2:17">
      <c r="B5" s="34" t="s">
        <v>16</v>
      </c>
      <c r="C5" s="35" t="s">
        <v>17</v>
      </c>
      <c r="D5" s="35" t="s">
        <v>35</v>
      </c>
      <c r="E5" s="35" t="s">
        <v>58</v>
      </c>
      <c r="F5" s="35" t="s">
        <v>59</v>
      </c>
      <c r="G5" s="35">
        <v>40208112</v>
      </c>
      <c r="H5" s="35">
        <v>72513</v>
      </c>
      <c r="I5" s="7" t="s">
        <v>65</v>
      </c>
      <c r="J5" s="35" t="s">
        <v>37</v>
      </c>
      <c r="K5" s="35" t="s">
        <v>66</v>
      </c>
      <c r="L5" s="35"/>
      <c r="M5" s="35">
        <v>10</v>
      </c>
      <c r="N5" s="35">
        <v>5</v>
      </c>
      <c r="O5" s="36">
        <v>0</v>
      </c>
      <c r="P5" s="35">
        <v>7</v>
      </c>
      <c r="Q5" s="37">
        <f t="shared" ref="Q5:Q12" si="0">M5-P5</f>
        <v>3</v>
      </c>
    </row>
    <row r="6" spans="2:17">
      <c r="B6" s="34" t="s">
        <v>16</v>
      </c>
      <c r="C6" s="35" t="s">
        <v>17</v>
      </c>
      <c r="D6" s="35" t="s">
        <v>35</v>
      </c>
      <c r="E6" s="35" t="s">
        <v>58</v>
      </c>
      <c r="F6" s="35" t="s">
        <v>59</v>
      </c>
      <c r="G6" s="35">
        <v>40208112</v>
      </c>
      <c r="H6" s="35">
        <v>72875</v>
      </c>
      <c r="I6" s="7" t="s">
        <v>67</v>
      </c>
      <c r="J6" s="35" t="s">
        <v>61</v>
      </c>
      <c r="K6" s="35" t="s">
        <v>68</v>
      </c>
      <c r="L6" s="35"/>
      <c r="M6" s="35">
        <v>10</v>
      </c>
      <c r="N6" s="35">
        <v>5</v>
      </c>
      <c r="O6" s="36">
        <v>0</v>
      </c>
      <c r="P6" s="35">
        <v>10</v>
      </c>
      <c r="Q6" s="37">
        <f t="shared" si="0"/>
        <v>0</v>
      </c>
    </row>
    <row r="7" spans="2:17">
      <c r="B7" s="34" t="s">
        <v>16</v>
      </c>
      <c r="C7" s="35" t="s">
        <v>17</v>
      </c>
      <c r="D7" s="35" t="s">
        <v>35</v>
      </c>
      <c r="E7" s="35" t="s">
        <v>58</v>
      </c>
      <c r="F7" s="35" t="s">
        <v>59</v>
      </c>
      <c r="G7" s="35">
        <v>40208112</v>
      </c>
      <c r="H7" s="35">
        <v>72897</v>
      </c>
      <c r="I7" s="7" t="s">
        <v>69</v>
      </c>
      <c r="J7" s="35" t="s">
        <v>37</v>
      </c>
      <c r="K7" s="35" t="s">
        <v>70</v>
      </c>
      <c r="L7" s="35"/>
      <c r="M7" s="35">
        <v>10</v>
      </c>
      <c r="N7" s="35">
        <v>5</v>
      </c>
      <c r="O7" s="36">
        <v>4</v>
      </c>
      <c r="P7" s="35">
        <v>2</v>
      </c>
      <c r="Q7" s="37">
        <f t="shared" si="0"/>
        <v>8</v>
      </c>
    </row>
    <row r="8" spans="2:17">
      <c r="B8" s="34" t="s">
        <v>16</v>
      </c>
      <c r="C8" s="35" t="s">
        <v>17</v>
      </c>
      <c r="D8" s="35" t="s">
        <v>35</v>
      </c>
      <c r="E8" s="35" t="s">
        <v>58</v>
      </c>
      <c r="F8" s="35" t="s">
        <v>59</v>
      </c>
      <c r="G8" s="35">
        <v>40208112</v>
      </c>
      <c r="H8" s="35">
        <v>72898</v>
      </c>
      <c r="I8" s="7" t="s">
        <v>71</v>
      </c>
      <c r="J8" s="35" t="s">
        <v>37</v>
      </c>
      <c r="K8" s="35" t="s">
        <v>72</v>
      </c>
      <c r="L8" s="35"/>
      <c r="M8" s="35">
        <v>10</v>
      </c>
      <c r="N8" s="35">
        <v>5</v>
      </c>
      <c r="O8" s="36">
        <v>0</v>
      </c>
      <c r="P8" s="35">
        <v>12</v>
      </c>
      <c r="Q8" s="37">
        <f t="shared" si="0"/>
        <v>-2</v>
      </c>
    </row>
    <row r="9" spans="2:17">
      <c r="B9" s="34" t="s">
        <v>16</v>
      </c>
      <c r="C9" s="35" t="s">
        <v>17</v>
      </c>
      <c r="D9" s="35" t="s">
        <v>35</v>
      </c>
      <c r="E9" s="35" t="s">
        <v>58</v>
      </c>
      <c r="F9" s="35" t="s">
        <v>59</v>
      </c>
      <c r="G9" s="35">
        <v>40208112</v>
      </c>
      <c r="H9" s="35">
        <v>72894</v>
      </c>
      <c r="I9" s="7" t="s">
        <v>73</v>
      </c>
      <c r="J9" s="35" t="s">
        <v>37</v>
      </c>
      <c r="K9" s="35" t="s">
        <v>74</v>
      </c>
      <c r="L9" s="35"/>
      <c r="M9" s="35">
        <v>10</v>
      </c>
      <c r="N9" s="35">
        <v>5</v>
      </c>
      <c r="O9" s="36">
        <v>0</v>
      </c>
      <c r="P9" s="35">
        <v>10</v>
      </c>
      <c r="Q9" s="37">
        <f t="shared" si="0"/>
        <v>0</v>
      </c>
    </row>
    <row r="10" spans="2:17">
      <c r="B10" s="34" t="s">
        <v>16</v>
      </c>
      <c r="C10" s="35" t="s">
        <v>17</v>
      </c>
      <c r="D10" s="35" t="s">
        <v>35</v>
      </c>
      <c r="E10" s="35" t="s">
        <v>58</v>
      </c>
      <c r="F10" s="35" t="s">
        <v>59</v>
      </c>
      <c r="G10" s="35">
        <v>40208112</v>
      </c>
      <c r="H10" s="35">
        <v>72929</v>
      </c>
      <c r="I10" s="7" t="s">
        <v>75</v>
      </c>
      <c r="J10" s="35" t="s">
        <v>37</v>
      </c>
      <c r="K10" s="35" t="s">
        <v>76</v>
      </c>
      <c r="L10" s="35"/>
      <c r="M10" s="35">
        <v>10</v>
      </c>
      <c r="N10" s="35">
        <v>5</v>
      </c>
      <c r="O10" s="36">
        <v>0</v>
      </c>
      <c r="P10" s="35">
        <v>18</v>
      </c>
      <c r="Q10" s="37">
        <f t="shared" si="0"/>
        <v>-8</v>
      </c>
    </row>
    <row r="11" spans="2:17">
      <c r="B11" s="34" t="s">
        <v>16</v>
      </c>
      <c r="C11" s="35" t="s">
        <v>17</v>
      </c>
      <c r="D11" s="35" t="s">
        <v>35</v>
      </c>
      <c r="E11" s="35" t="s">
        <v>58</v>
      </c>
      <c r="F11" s="35" t="s">
        <v>59</v>
      </c>
      <c r="G11" s="35">
        <v>40208112</v>
      </c>
      <c r="H11" s="35">
        <v>72683</v>
      </c>
      <c r="I11" s="7" t="s">
        <v>77</v>
      </c>
      <c r="J11" s="35" t="s">
        <v>37</v>
      </c>
      <c r="K11" s="35" t="s">
        <v>78</v>
      </c>
      <c r="L11" s="35"/>
      <c r="M11" s="35">
        <v>10</v>
      </c>
      <c r="N11" s="35">
        <v>5</v>
      </c>
      <c r="O11" s="36">
        <v>0</v>
      </c>
      <c r="P11" s="35">
        <v>51</v>
      </c>
      <c r="Q11" s="37">
        <f t="shared" si="0"/>
        <v>-41</v>
      </c>
    </row>
    <row r="12" spans="2:17">
      <c r="B12" s="38" t="s">
        <v>16</v>
      </c>
      <c r="C12" s="39" t="s">
        <v>17</v>
      </c>
      <c r="D12" s="39" t="s">
        <v>35</v>
      </c>
      <c r="E12" s="39" t="s">
        <v>58</v>
      </c>
      <c r="F12" s="39" t="s">
        <v>59</v>
      </c>
      <c r="G12" s="39">
        <v>40208112</v>
      </c>
      <c r="H12" s="39">
        <v>72912</v>
      </c>
      <c r="I12" s="16" t="s">
        <v>79</v>
      </c>
      <c r="J12" s="39" t="s">
        <v>80</v>
      </c>
      <c r="K12" s="39" t="s">
        <v>81</v>
      </c>
      <c r="L12" s="39"/>
      <c r="M12" s="39">
        <v>10</v>
      </c>
      <c r="N12" s="39">
        <v>5</v>
      </c>
      <c r="O12" s="40">
        <v>0</v>
      </c>
      <c r="P12" s="39">
        <v>53</v>
      </c>
      <c r="Q12" s="41">
        <f t="shared" si="0"/>
        <v>-43</v>
      </c>
    </row>
    <row r="13" spans="2:17">
      <c r="B13" s="34" t="s">
        <v>16</v>
      </c>
      <c r="C13" s="35" t="s">
        <v>17</v>
      </c>
      <c r="D13" s="35" t="s">
        <v>35</v>
      </c>
      <c r="E13" s="35" t="s">
        <v>82</v>
      </c>
      <c r="F13" s="35" t="s">
        <v>59</v>
      </c>
      <c r="G13" s="35">
        <v>40300898</v>
      </c>
      <c r="H13" s="35">
        <v>72594</v>
      </c>
      <c r="I13" s="7" t="s">
        <v>83</v>
      </c>
      <c r="J13" s="35" t="s">
        <v>61</v>
      </c>
      <c r="K13" s="35" t="s">
        <v>84</v>
      </c>
      <c r="L13" s="35"/>
      <c r="M13" s="35">
        <v>24</v>
      </c>
      <c r="N13" s="35">
        <v>10</v>
      </c>
      <c r="O13" s="36"/>
      <c r="P13" s="35"/>
      <c r="Q13" s="37">
        <f t="shared" ref="Q13:Q34" si="1">M13-P13</f>
        <v>24</v>
      </c>
    </row>
    <row r="14" spans="2:17">
      <c r="B14" s="34" t="s">
        <v>16</v>
      </c>
      <c r="C14" s="35" t="s">
        <v>17</v>
      </c>
      <c r="D14" s="35" t="s">
        <v>35</v>
      </c>
      <c r="E14" s="35" t="s">
        <v>82</v>
      </c>
      <c r="F14" s="35" t="s">
        <v>59</v>
      </c>
      <c r="G14" s="35">
        <v>40300898</v>
      </c>
      <c r="H14" s="35">
        <v>72916</v>
      </c>
      <c r="I14" s="7" t="s">
        <v>85</v>
      </c>
      <c r="J14" s="35" t="s">
        <v>37</v>
      </c>
      <c r="K14" s="35" t="s">
        <v>86</v>
      </c>
      <c r="L14" s="35"/>
      <c r="M14" s="35">
        <v>24</v>
      </c>
      <c r="N14" s="35">
        <v>10</v>
      </c>
      <c r="O14" s="36"/>
      <c r="P14" s="35"/>
      <c r="Q14" s="37">
        <f t="shared" si="1"/>
        <v>24</v>
      </c>
    </row>
    <row r="15" spans="2:17">
      <c r="B15" s="34" t="s">
        <v>16</v>
      </c>
      <c r="C15" s="35" t="s">
        <v>17</v>
      </c>
      <c r="D15" s="35" t="s">
        <v>35</v>
      </c>
      <c r="E15" s="35" t="s">
        <v>82</v>
      </c>
      <c r="F15" s="35" t="s">
        <v>59</v>
      </c>
      <c r="G15" s="35">
        <v>40300898</v>
      </c>
      <c r="H15" s="35">
        <v>72517</v>
      </c>
      <c r="I15" s="7" t="s">
        <v>87</v>
      </c>
      <c r="J15" s="35" t="s">
        <v>88</v>
      </c>
      <c r="K15" s="35" t="s">
        <v>89</v>
      </c>
      <c r="L15" s="35"/>
      <c r="M15" s="35">
        <v>8</v>
      </c>
      <c r="N15" s="35">
        <v>4</v>
      </c>
      <c r="O15" s="36"/>
      <c r="P15" s="35"/>
      <c r="Q15" s="37">
        <f t="shared" si="1"/>
        <v>8</v>
      </c>
    </row>
    <row r="16" spans="2:17">
      <c r="B16" s="34" t="s">
        <v>16</v>
      </c>
      <c r="C16" s="35" t="s">
        <v>17</v>
      </c>
      <c r="D16" s="35" t="s">
        <v>35</v>
      </c>
      <c r="E16" s="35" t="s">
        <v>82</v>
      </c>
      <c r="F16" s="35" t="s">
        <v>59</v>
      </c>
      <c r="G16" s="35">
        <v>40300898</v>
      </c>
      <c r="H16" s="35">
        <v>72886</v>
      </c>
      <c r="I16" s="7" t="s">
        <v>90</v>
      </c>
      <c r="J16" s="35" t="s">
        <v>37</v>
      </c>
      <c r="K16" s="35" t="s">
        <v>91</v>
      </c>
      <c r="L16" s="35"/>
      <c r="M16" s="35">
        <v>16</v>
      </c>
      <c r="N16" s="35">
        <v>8</v>
      </c>
      <c r="O16" s="36"/>
      <c r="P16" s="35"/>
      <c r="Q16" s="37">
        <f t="shared" si="1"/>
        <v>16</v>
      </c>
    </row>
    <row r="17" spans="2:17">
      <c r="B17" s="34" t="s">
        <v>16</v>
      </c>
      <c r="C17" s="35" t="s">
        <v>17</v>
      </c>
      <c r="D17" s="35" t="s">
        <v>35</v>
      </c>
      <c r="E17" s="35" t="s">
        <v>82</v>
      </c>
      <c r="F17" s="35" t="s">
        <v>59</v>
      </c>
      <c r="G17" s="35">
        <v>40300898</v>
      </c>
      <c r="H17" s="35">
        <v>72963</v>
      </c>
      <c r="I17" s="7" t="s">
        <v>92</v>
      </c>
      <c r="J17" s="35" t="s">
        <v>61</v>
      </c>
      <c r="K17" s="35" t="s">
        <v>93</v>
      </c>
      <c r="L17" s="35"/>
      <c r="M17" s="35">
        <v>10</v>
      </c>
      <c r="N17" s="35">
        <v>4</v>
      </c>
      <c r="O17" s="36"/>
      <c r="P17" s="35"/>
      <c r="Q17" s="37">
        <f t="shared" si="1"/>
        <v>10</v>
      </c>
    </row>
    <row r="18" spans="2:17">
      <c r="B18" s="34" t="s">
        <v>16</v>
      </c>
      <c r="C18" s="35" t="s">
        <v>17</v>
      </c>
      <c r="D18" s="35" t="s">
        <v>35</v>
      </c>
      <c r="E18" s="35" t="s">
        <v>82</v>
      </c>
      <c r="F18" s="35" t="s">
        <v>59</v>
      </c>
      <c r="G18" s="35">
        <v>40300898</v>
      </c>
      <c r="H18" s="35">
        <v>73033</v>
      </c>
      <c r="I18" s="7" t="s">
        <v>94</v>
      </c>
      <c r="J18" s="35" t="s">
        <v>88</v>
      </c>
      <c r="K18" s="35" t="s">
        <v>95</v>
      </c>
      <c r="L18" s="35"/>
      <c r="M18" s="35">
        <v>16</v>
      </c>
      <c r="N18" s="35">
        <v>8</v>
      </c>
      <c r="O18" s="36"/>
      <c r="P18" s="35"/>
      <c r="Q18" s="37">
        <f t="shared" si="1"/>
        <v>16</v>
      </c>
    </row>
    <row r="19" spans="2:17">
      <c r="B19" s="34" t="s">
        <v>16</v>
      </c>
      <c r="C19" s="35" t="s">
        <v>17</v>
      </c>
      <c r="D19" s="35" t="s">
        <v>35</v>
      </c>
      <c r="E19" s="35" t="s">
        <v>82</v>
      </c>
      <c r="F19" s="35" t="s">
        <v>59</v>
      </c>
      <c r="G19" s="35">
        <v>40300898</v>
      </c>
      <c r="H19" s="35">
        <v>72592</v>
      </c>
      <c r="I19" s="7" t="s">
        <v>96</v>
      </c>
      <c r="J19" s="35" t="s">
        <v>97</v>
      </c>
      <c r="K19" s="35" t="s">
        <v>98</v>
      </c>
      <c r="L19" s="35"/>
      <c r="M19" s="35">
        <v>8</v>
      </c>
      <c r="N19" s="35">
        <v>3</v>
      </c>
      <c r="O19" s="36"/>
      <c r="P19" s="35"/>
      <c r="Q19" s="37">
        <f t="shared" si="1"/>
        <v>8</v>
      </c>
    </row>
    <row r="20" spans="2:17">
      <c r="B20" s="34"/>
      <c r="C20" s="35"/>
      <c r="D20" s="35"/>
      <c r="E20" s="35" t="s">
        <v>82</v>
      </c>
      <c r="F20" s="35"/>
      <c r="G20" s="35">
        <v>40300898</v>
      </c>
      <c r="H20" s="35"/>
      <c r="I20" s="7" t="s">
        <v>99</v>
      </c>
      <c r="J20" s="35" t="s">
        <v>37</v>
      </c>
      <c r="K20" s="35" t="s">
        <v>100</v>
      </c>
      <c r="L20" s="35"/>
      <c r="M20" s="35">
        <v>8</v>
      </c>
      <c r="N20" s="35">
        <v>3</v>
      </c>
      <c r="O20" s="36"/>
      <c r="P20" s="35"/>
      <c r="Q20" s="37">
        <f>M20-P20</f>
        <v>8</v>
      </c>
    </row>
    <row r="21" spans="2:17">
      <c r="B21" s="34" t="s">
        <v>16</v>
      </c>
      <c r="C21" s="35" t="s">
        <v>17</v>
      </c>
      <c r="D21" s="35" t="s">
        <v>35</v>
      </c>
      <c r="E21" s="35" t="s">
        <v>82</v>
      </c>
      <c r="F21" s="35" t="s">
        <v>59</v>
      </c>
      <c r="G21" s="35">
        <v>40300898</v>
      </c>
      <c r="H21" s="35">
        <v>73828</v>
      </c>
      <c r="I21" s="7" t="s">
        <v>101</v>
      </c>
      <c r="J21" s="35" t="s">
        <v>37</v>
      </c>
      <c r="K21" s="35" t="s">
        <v>78</v>
      </c>
      <c r="L21" s="35"/>
      <c r="M21" s="35">
        <v>24</v>
      </c>
      <c r="N21" s="35">
        <v>8</v>
      </c>
      <c r="O21" s="36"/>
      <c r="P21" s="35"/>
      <c r="Q21" s="37">
        <f t="shared" si="1"/>
        <v>24</v>
      </c>
    </row>
    <row r="22" spans="2:17">
      <c r="B22" s="34" t="s">
        <v>16</v>
      </c>
      <c r="C22" s="35" t="s">
        <v>17</v>
      </c>
      <c r="D22" s="35" t="s">
        <v>35</v>
      </c>
      <c r="E22" s="35" t="s">
        <v>82</v>
      </c>
      <c r="F22" s="35" t="s">
        <v>59</v>
      </c>
      <c r="G22" s="35">
        <v>40300898</v>
      </c>
      <c r="H22" s="35">
        <v>75017</v>
      </c>
      <c r="I22" s="7" t="s">
        <v>102</v>
      </c>
      <c r="J22" s="35" t="s">
        <v>103</v>
      </c>
      <c r="K22" s="35">
        <v>502</v>
      </c>
      <c r="L22" s="35"/>
      <c r="M22" s="35">
        <v>8</v>
      </c>
      <c r="N22" s="35">
        <v>2</v>
      </c>
      <c r="O22" s="36"/>
      <c r="P22" s="35"/>
      <c r="Q22" s="37">
        <f t="shared" si="1"/>
        <v>8</v>
      </c>
    </row>
    <row r="23" spans="2:17">
      <c r="B23" s="34" t="s">
        <v>16</v>
      </c>
      <c r="C23" s="35" t="s">
        <v>17</v>
      </c>
      <c r="D23" s="35" t="s">
        <v>18</v>
      </c>
      <c r="E23" s="35" t="s">
        <v>82</v>
      </c>
      <c r="F23" s="35" t="s">
        <v>59</v>
      </c>
      <c r="G23" s="35">
        <v>40300898</v>
      </c>
      <c r="H23" s="35">
        <v>70967</v>
      </c>
      <c r="I23" s="7" t="s">
        <v>104</v>
      </c>
      <c r="J23" s="35" t="s">
        <v>105</v>
      </c>
      <c r="K23" s="35" t="s">
        <v>106</v>
      </c>
      <c r="L23" s="35"/>
      <c r="M23" s="35">
        <v>12</v>
      </c>
      <c r="N23" s="35">
        <v>4</v>
      </c>
      <c r="O23" s="36"/>
      <c r="P23" s="35"/>
      <c r="Q23" s="37">
        <f t="shared" si="1"/>
        <v>12</v>
      </c>
    </row>
    <row r="24" spans="2:17">
      <c r="B24" s="34"/>
      <c r="C24" s="35"/>
      <c r="D24" s="35"/>
      <c r="E24" s="35" t="s">
        <v>82</v>
      </c>
      <c r="F24" s="35"/>
      <c r="G24" s="35">
        <v>40300898</v>
      </c>
      <c r="H24" s="35"/>
      <c r="I24" s="7" t="s">
        <v>107</v>
      </c>
      <c r="J24" s="35" t="s">
        <v>105</v>
      </c>
      <c r="K24" s="35" t="s">
        <v>108</v>
      </c>
      <c r="L24" s="35"/>
      <c r="M24" s="35">
        <v>3</v>
      </c>
      <c r="N24" s="35">
        <v>1</v>
      </c>
      <c r="O24" s="36"/>
      <c r="P24" s="35"/>
      <c r="Q24" s="37">
        <f>M24-P24</f>
        <v>3</v>
      </c>
    </row>
    <row r="25" spans="2:17">
      <c r="B25" s="34"/>
      <c r="C25" s="35"/>
      <c r="D25" s="35"/>
      <c r="E25" s="35" t="s">
        <v>82</v>
      </c>
      <c r="F25" s="35"/>
      <c r="G25" s="35">
        <v>40300898</v>
      </c>
      <c r="H25" s="35"/>
      <c r="I25" s="7" t="s">
        <v>109</v>
      </c>
      <c r="J25" s="35" t="s">
        <v>105</v>
      </c>
      <c r="K25" s="35" t="s">
        <v>110</v>
      </c>
      <c r="L25" s="35"/>
      <c r="M25" s="35">
        <v>2</v>
      </c>
      <c r="N25" s="35">
        <v>1</v>
      </c>
      <c r="O25" s="36"/>
      <c r="P25" s="35"/>
      <c r="Q25" s="37">
        <f>M25-P25</f>
        <v>2</v>
      </c>
    </row>
    <row r="26" spans="2:17">
      <c r="B26" s="34" t="s">
        <v>16</v>
      </c>
      <c r="C26" s="35" t="s">
        <v>17</v>
      </c>
      <c r="D26" s="35" t="s">
        <v>18</v>
      </c>
      <c r="E26" s="35" t="s">
        <v>82</v>
      </c>
      <c r="F26" s="35" t="s">
        <v>59</v>
      </c>
      <c r="G26" s="35">
        <v>40300898</v>
      </c>
      <c r="H26" s="35">
        <v>78617</v>
      </c>
      <c r="I26" s="7" t="s">
        <v>111</v>
      </c>
      <c r="J26" s="35" t="s">
        <v>31</v>
      </c>
      <c r="K26" s="35" t="s">
        <v>112</v>
      </c>
      <c r="L26" s="35"/>
      <c r="M26" s="35">
        <v>12</v>
      </c>
      <c r="N26" s="35">
        <v>4</v>
      </c>
      <c r="O26" s="36"/>
      <c r="P26" s="35"/>
      <c r="Q26" s="37">
        <f t="shared" si="1"/>
        <v>12</v>
      </c>
    </row>
    <row r="27" spans="2:17">
      <c r="B27" s="34"/>
      <c r="C27" s="35"/>
      <c r="D27" s="35"/>
      <c r="E27" s="35" t="s">
        <v>82</v>
      </c>
      <c r="F27" s="35"/>
      <c r="G27" s="35">
        <v>40300898</v>
      </c>
      <c r="H27" s="35"/>
      <c r="I27" s="7" t="s">
        <v>113</v>
      </c>
      <c r="J27" s="35" t="s">
        <v>31</v>
      </c>
      <c r="K27" s="35" t="s">
        <v>114</v>
      </c>
      <c r="L27" s="35"/>
      <c r="M27" s="35">
        <v>4</v>
      </c>
      <c r="N27" s="35">
        <v>2</v>
      </c>
      <c r="O27" s="36"/>
      <c r="P27" s="35"/>
      <c r="Q27" s="37">
        <f>M27-P27</f>
        <v>4</v>
      </c>
    </row>
    <row r="28" spans="2:17">
      <c r="B28" s="34"/>
      <c r="C28" s="35"/>
      <c r="D28" s="35"/>
      <c r="E28" s="35" t="s">
        <v>82</v>
      </c>
      <c r="F28" s="35"/>
      <c r="G28" s="35">
        <v>40300898</v>
      </c>
      <c r="H28" s="35"/>
      <c r="I28" s="7" t="s">
        <v>115</v>
      </c>
      <c r="J28" s="35" t="s">
        <v>31</v>
      </c>
      <c r="K28" s="35" t="s">
        <v>116</v>
      </c>
      <c r="L28" s="35"/>
      <c r="M28" s="35">
        <v>2</v>
      </c>
      <c r="N28" s="35">
        <v>1</v>
      </c>
      <c r="O28" s="36"/>
      <c r="P28" s="35"/>
      <c r="Q28" s="37">
        <f>M28-P28</f>
        <v>2</v>
      </c>
    </row>
    <row r="29" spans="2:17">
      <c r="B29" s="34" t="s">
        <v>16</v>
      </c>
      <c r="C29" s="35" t="s">
        <v>17</v>
      </c>
      <c r="D29" s="35" t="s">
        <v>18</v>
      </c>
      <c r="E29" s="35" t="s">
        <v>82</v>
      </c>
      <c r="F29" s="35" t="s">
        <v>59</v>
      </c>
      <c r="G29" s="35">
        <v>40300898</v>
      </c>
      <c r="H29" s="35">
        <v>70269</v>
      </c>
      <c r="I29" s="7" t="s">
        <v>117</v>
      </c>
      <c r="J29" s="35" t="s">
        <v>105</v>
      </c>
      <c r="K29" s="35" t="s">
        <v>118</v>
      </c>
      <c r="L29" s="35"/>
      <c r="M29" s="35">
        <v>84</v>
      </c>
      <c r="N29" s="35">
        <v>32</v>
      </c>
      <c r="O29" s="36"/>
      <c r="P29" s="35"/>
      <c r="Q29" s="37">
        <f t="shared" si="1"/>
        <v>84</v>
      </c>
    </row>
    <row r="30" spans="2:17">
      <c r="B30" s="34"/>
      <c r="C30" s="35"/>
      <c r="D30" s="35"/>
      <c r="E30" s="35" t="s">
        <v>82</v>
      </c>
      <c r="F30" s="35"/>
      <c r="G30" s="35">
        <v>40300898</v>
      </c>
      <c r="H30" s="35"/>
      <c r="I30" s="51" t="s">
        <v>119</v>
      </c>
      <c r="J30" s="35" t="s">
        <v>105</v>
      </c>
      <c r="K30" s="35" t="s">
        <v>120</v>
      </c>
      <c r="L30" s="35"/>
      <c r="M30" s="35">
        <v>40</v>
      </c>
      <c r="N30" s="35">
        <v>15</v>
      </c>
      <c r="O30" s="36"/>
      <c r="P30" s="35"/>
      <c r="Q30" s="37">
        <f>M30-P30</f>
        <v>40</v>
      </c>
    </row>
    <row r="31" spans="2:17">
      <c r="B31" s="34" t="s">
        <v>16</v>
      </c>
      <c r="C31" s="35" t="s">
        <v>17</v>
      </c>
      <c r="D31" s="35" t="s">
        <v>18</v>
      </c>
      <c r="E31" s="35" t="s">
        <v>82</v>
      </c>
      <c r="F31" s="35" t="s">
        <v>59</v>
      </c>
      <c r="G31" s="35">
        <v>40300898</v>
      </c>
      <c r="H31" s="35">
        <v>70771</v>
      </c>
      <c r="I31" s="7" t="s">
        <v>121</v>
      </c>
      <c r="J31" s="35" t="s">
        <v>37</v>
      </c>
      <c r="K31" s="35" t="s">
        <v>122</v>
      </c>
      <c r="L31" s="35"/>
      <c r="M31" s="35">
        <v>100</v>
      </c>
      <c r="N31" s="35">
        <v>40</v>
      </c>
      <c r="O31" s="36"/>
      <c r="P31" s="35"/>
      <c r="Q31" s="37">
        <f t="shared" si="1"/>
        <v>100</v>
      </c>
    </row>
    <row r="32" spans="2:17">
      <c r="B32" s="34" t="s">
        <v>16</v>
      </c>
      <c r="C32" s="35" t="s">
        <v>17</v>
      </c>
      <c r="D32" s="35" t="s">
        <v>18</v>
      </c>
      <c r="E32" s="35" t="s">
        <v>82</v>
      </c>
      <c r="F32" s="35" t="s">
        <v>59</v>
      </c>
      <c r="G32" s="35">
        <v>40300898</v>
      </c>
      <c r="H32" s="35">
        <v>70585</v>
      </c>
      <c r="I32" s="7" t="s">
        <v>123</v>
      </c>
      <c r="J32" s="35" t="s">
        <v>37</v>
      </c>
      <c r="K32" s="35" t="s">
        <v>124</v>
      </c>
      <c r="L32" s="35"/>
      <c r="M32" s="35">
        <v>100</v>
      </c>
      <c r="N32" s="35">
        <v>40</v>
      </c>
      <c r="O32" s="36"/>
      <c r="P32" s="35"/>
      <c r="Q32" s="37">
        <f t="shared" si="1"/>
        <v>100</v>
      </c>
    </row>
    <row r="33" spans="2:17">
      <c r="B33" s="34" t="s">
        <v>16</v>
      </c>
      <c r="C33" s="35" t="s">
        <v>17</v>
      </c>
      <c r="D33" s="35" t="s">
        <v>18</v>
      </c>
      <c r="E33" s="35" t="s">
        <v>82</v>
      </c>
      <c r="F33" s="35" t="s">
        <v>59</v>
      </c>
      <c r="G33" s="35">
        <v>40300898</v>
      </c>
      <c r="H33" s="35">
        <v>78881</v>
      </c>
      <c r="I33" s="7" t="s">
        <v>125</v>
      </c>
      <c r="J33" s="35" t="s">
        <v>37</v>
      </c>
      <c r="K33" s="35" t="s">
        <v>126</v>
      </c>
      <c r="L33" s="35"/>
      <c r="M33" s="35">
        <v>100</v>
      </c>
      <c r="N33" s="35">
        <v>40</v>
      </c>
      <c r="O33" s="36"/>
      <c r="P33" s="35"/>
      <c r="Q33" s="37">
        <f t="shared" si="1"/>
        <v>100</v>
      </c>
    </row>
    <row r="34" spans="2:17">
      <c r="B34" s="38" t="s">
        <v>16</v>
      </c>
      <c r="C34" s="39" t="s">
        <v>17</v>
      </c>
      <c r="D34" s="39" t="s">
        <v>18</v>
      </c>
      <c r="E34" s="39" t="s">
        <v>82</v>
      </c>
      <c r="F34" s="39" t="s">
        <v>59</v>
      </c>
      <c r="G34" s="39">
        <v>40300898</v>
      </c>
      <c r="H34" s="39">
        <v>70761</v>
      </c>
      <c r="I34" s="16" t="s">
        <v>127</v>
      </c>
      <c r="J34" s="39" t="s">
        <v>37</v>
      </c>
      <c r="K34" s="39" t="s">
        <v>128</v>
      </c>
      <c r="L34" s="39"/>
      <c r="M34" s="39">
        <v>100</v>
      </c>
      <c r="N34" s="39">
        <v>40</v>
      </c>
      <c r="O34" s="40"/>
      <c r="P34" s="39"/>
      <c r="Q34" s="41">
        <f t="shared" si="1"/>
        <v>100</v>
      </c>
    </row>
    <row r="35" spans="2:17" ht="26.4">
      <c r="B35" s="38" t="s">
        <v>16</v>
      </c>
      <c r="C35" s="39" t="s">
        <v>17</v>
      </c>
      <c r="D35" s="39" t="s">
        <v>18</v>
      </c>
      <c r="E35" s="39" t="s">
        <v>82</v>
      </c>
      <c r="F35" s="39" t="s">
        <v>59</v>
      </c>
      <c r="G35" s="39">
        <v>40300898</v>
      </c>
      <c r="H35" s="39"/>
      <c r="I35" s="29" t="s">
        <v>129</v>
      </c>
      <c r="J35" s="35" t="s">
        <v>105</v>
      </c>
      <c r="K35" s="35" t="s">
        <v>130</v>
      </c>
      <c r="L35" s="39"/>
      <c r="M35" s="39">
        <v>20</v>
      </c>
      <c r="N35" s="39">
        <v>10</v>
      </c>
      <c r="O35" s="40"/>
      <c r="P35" s="39"/>
      <c r="Q35" s="41">
        <f>M35-P35</f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8568-E9D8-4D02-8137-779DB6A8C612}">
  <dimension ref="B2:P34"/>
  <sheetViews>
    <sheetView zoomScale="80" zoomScaleNormal="80" workbookViewId="0">
      <selection activeCell="M3" sqref="M3"/>
    </sheetView>
  </sheetViews>
  <sheetFormatPr baseColWidth="10" defaultColWidth="11.44140625" defaultRowHeight="14.4"/>
  <cols>
    <col min="1" max="1" width="2.5546875" customWidth="1"/>
    <col min="2" max="2" width="20.109375" bestFit="1" customWidth="1"/>
    <col min="3" max="3" width="12.6640625" customWidth="1"/>
    <col min="4" max="4" width="15" customWidth="1"/>
    <col min="5" max="5" width="9.44140625" customWidth="1"/>
    <col min="6" max="6" width="113.44140625" customWidth="1"/>
    <col min="7" max="7" width="16.88671875" bestFit="1" customWidth="1"/>
    <col min="8" max="8" width="29" customWidth="1"/>
    <col min="9" max="9" width="23.109375" customWidth="1"/>
    <col min="10" max="10" width="9.88671875" customWidth="1"/>
    <col min="11" max="11" width="22.44140625" customWidth="1"/>
    <col min="12" max="12" width="19.33203125" customWidth="1"/>
    <col min="13" max="13" width="14.33203125" customWidth="1"/>
    <col min="14" max="14" width="22" customWidth="1"/>
  </cols>
  <sheetData>
    <row r="2" spans="2:16">
      <c r="B2" s="11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55</v>
      </c>
      <c r="J2" s="12" t="s">
        <v>56</v>
      </c>
      <c r="K2" s="12" t="s">
        <v>11</v>
      </c>
      <c r="L2" s="12" t="s">
        <v>12</v>
      </c>
      <c r="M2" s="12" t="s">
        <v>57</v>
      </c>
      <c r="N2" s="13" t="s">
        <v>14</v>
      </c>
    </row>
    <row r="3" spans="2:16">
      <c r="B3" s="9" t="s">
        <v>131</v>
      </c>
      <c r="C3" s="5" t="s">
        <v>59</v>
      </c>
      <c r="D3" s="5">
        <v>40410003</v>
      </c>
      <c r="E3" s="5">
        <v>72897</v>
      </c>
      <c r="F3" s="19" t="s">
        <v>132</v>
      </c>
      <c r="G3" s="5" t="s">
        <v>40</v>
      </c>
      <c r="H3" s="5" t="s">
        <v>41</v>
      </c>
      <c r="I3" s="5"/>
      <c r="J3" s="5">
        <v>15</v>
      </c>
      <c r="K3" s="5">
        <v>3</v>
      </c>
      <c r="L3" s="6">
        <v>12</v>
      </c>
      <c r="M3" s="5">
        <f>Tabla3[[#This Row],[STOCK]]-Tabla3[[#This Row],[SALIDA DE EQUIPOS]]</f>
        <v>3</v>
      </c>
      <c r="N3" s="10">
        <f t="shared" ref="N3:N15" si="0">J3-M3</f>
        <v>12</v>
      </c>
    </row>
    <row r="4" spans="2:16">
      <c r="B4" s="9" t="s">
        <v>131</v>
      </c>
      <c r="C4" s="5" t="s">
        <v>59</v>
      </c>
      <c r="D4" s="5">
        <v>40410003</v>
      </c>
      <c r="E4" s="5">
        <v>72543</v>
      </c>
      <c r="F4" s="19" t="s">
        <v>42</v>
      </c>
      <c r="G4" s="5" t="s">
        <v>43</v>
      </c>
      <c r="H4" s="5" t="s">
        <v>44</v>
      </c>
      <c r="I4" s="5"/>
      <c r="J4" s="5">
        <v>50</v>
      </c>
      <c r="K4" s="5">
        <v>10</v>
      </c>
      <c r="L4" s="6">
        <v>49</v>
      </c>
      <c r="M4" s="5">
        <v>1</v>
      </c>
      <c r="N4" s="10">
        <f t="shared" si="0"/>
        <v>49</v>
      </c>
    </row>
    <row r="5" spans="2:16">
      <c r="B5" s="9" t="s">
        <v>131</v>
      </c>
      <c r="C5" s="5" t="s">
        <v>59</v>
      </c>
      <c r="D5" s="5">
        <v>40410003</v>
      </c>
      <c r="E5" s="5">
        <v>72543</v>
      </c>
      <c r="F5" s="19" t="s">
        <v>46</v>
      </c>
      <c r="G5" s="5" t="s">
        <v>43</v>
      </c>
      <c r="H5" s="5" t="s">
        <v>47</v>
      </c>
      <c r="I5" s="5"/>
      <c r="J5" s="5">
        <v>50</v>
      </c>
      <c r="K5" s="5">
        <v>10</v>
      </c>
      <c r="L5" s="6">
        <v>49</v>
      </c>
      <c r="M5" s="5">
        <v>1</v>
      </c>
      <c r="N5" s="10">
        <f t="shared" si="0"/>
        <v>49</v>
      </c>
    </row>
    <row r="6" spans="2:16">
      <c r="B6" s="9" t="s">
        <v>131</v>
      </c>
      <c r="C6" s="5" t="s">
        <v>59</v>
      </c>
      <c r="D6" s="5">
        <v>40410003</v>
      </c>
      <c r="E6" s="5">
        <v>72867</v>
      </c>
      <c r="F6" s="19" t="s">
        <v>48</v>
      </c>
      <c r="G6" s="5" t="s">
        <v>43</v>
      </c>
      <c r="H6" s="5" t="s">
        <v>49</v>
      </c>
      <c r="I6" s="5"/>
      <c r="J6" s="5">
        <v>10</v>
      </c>
      <c r="K6" s="5">
        <v>3</v>
      </c>
      <c r="L6" s="6">
        <v>0</v>
      </c>
      <c r="M6" s="5">
        <v>30</v>
      </c>
      <c r="N6" s="10">
        <f t="shared" si="0"/>
        <v>-20</v>
      </c>
    </row>
    <row r="7" spans="2:16">
      <c r="B7" s="9" t="s">
        <v>131</v>
      </c>
      <c r="C7" s="5" t="s">
        <v>59</v>
      </c>
      <c r="D7" s="5">
        <v>40410003</v>
      </c>
      <c r="E7" s="5">
        <v>72984</v>
      </c>
      <c r="F7" s="19" t="s">
        <v>50</v>
      </c>
      <c r="G7" s="5" t="s">
        <v>43</v>
      </c>
      <c r="H7" s="5" t="s">
        <v>51</v>
      </c>
      <c r="I7" s="5"/>
      <c r="J7" s="5">
        <v>25</v>
      </c>
      <c r="K7" s="5">
        <v>5</v>
      </c>
      <c r="L7" s="6">
        <v>0</v>
      </c>
      <c r="M7" s="5">
        <v>46</v>
      </c>
      <c r="N7" s="10">
        <f t="shared" si="0"/>
        <v>-21</v>
      </c>
    </row>
    <row r="8" spans="2:16">
      <c r="B8" s="9" t="s">
        <v>131</v>
      </c>
      <c r="C8" s="5" t="s">
        <v>59</v>
      </c>
      <c r="D8" s="5">
        <v>40410003</v>
      </c>
      <c r="E8" s="5">
        <v>70622</v>
      </c>
      <c r="F8" s="19" t="s">
        <v>133</v>
      </c>
      <c r="G8" s="5" t="s">
        <v>134</v>
      </c>
      <c r="H8" s="5" t="s">
        <v>135</v>
      </c>
      <c r="I8" s="5"/>
      <c r="J8" s="5">
        <v>5</v>
      </c>
      <c r="K8" s="5">
        <v>1</v>
      </c>
      <c r="L8" s="6">
        <v>3</v>
      </c>
      <c r="M8" s="5">
        <v>2</v>
      </c>
      <c r="N8" s="10">
        <f t="shared" si="0"/>
        <v>3</v>
      </c>
    </row>
    <row r="9" spans="2:16">
      <c r="B9" s="9" t="s">
        <v>131</v>
      </c>
      <c r="C9" s="5" t="s">
        <v>59</v>
      </c>
      <c r="D9" s="5">
        <v>40410003</v>
      </c>
      <c r="E9" s="5">
        <v>70405</v>
      </c>
      <c r="F9" s="19" t="s">
        <v>136</v>
      </c>
      <c r="G9" s="5" t="s">
        <v>134</v>
      </c>
      <c r="H9" s="5" t="s">
        <v>137</v>
      </c>
      <c r="I9" s="5"/>
      <c r="J9" s="5">
        <v>2</v>
      </c>
      <c r="K9" s="5">
        <v>1</v>
      </c>
      <c r="L9" s="6">
        <v>1</v>
      </c>
      <c r="M9" s="5">
        <v>1</v>
      </c>
      <c r="N9" s="10">
        <f t="shared" si="0"/>
        <v>1</v>
      </c>
    </row>
    <row r="10" spans="2:16">
      <c r="B10" s="9" t="s">
        <v>131</v>
      </c>
      <c r="C10" s="5" t="s">
        <v>59</v>
      </c>
      <c r="D10" s="5">
        <v>40410003</v>
      </c>
      <c r="E10" s="5">
        <v>78354</v>
      </c>
      <c r="F10" s="19" t="s">
        <v>30</v>
      </c>
      <c r="G10" s="5" t="s">
        <v>31</v>
      </c>
      <c r="H10" s="5" t="s">
        <v>32</v>
      </c>
      <c r="I10" s="5"/>
      <c r="J10" s="5">
        <v>20</v>
      </c>
      <c r="K10" s="5">
        <v>5</v>
      </c>
      <c r="L10" s="6">
        <v>20</v>
      </c>
      <c r="M10" s="5">
        <v>0</v>
      </c>
      <c r="N10" s="10">
        <f t="shared" si="0"/>
        <v>20</v>
      </c>
    </row>
    <row r="11" spans="2:16">
      <c r="B11" s="9" t="s">
        <v>131</v>
      </c>
      <c r="C11" s="5" t="s">
        <v>59</v>
      </c>
      <c r="D11" s="5">
        <v>40410003</v>
      </c>
      <c r="E11" s="5">
        <v>70963</v>
      </c>
      <c r="F11" s="19" t="s">
        <v>138</v>
      </c>
      <c r="G11" s="5" t="s">
        <v>134</v>
      </c>
      <c r="H11" s="5" t="s">
        <v>139</v>
      </c>
      <c r="I11" s="5"/>
      <c r="J11" s="5">
        <v>5</v>
      </c>
      <c r="K11" s="5">
        <v>2</v>
      </c>
      <c r="L11" s="6">
        <v>0</v>
      </c>
      <c r="M11" s="5">
        <v>14</v>
      </c>
      <c r="N11" s="10">
        <f t="shared" si="0"/>
        <v>-9</v>
      </c>
    </row>
    <row r="12" spans="2:16">
      <c r="B12" s="9" t="s">
        <v>131</v>
      </c>
      <c r="C12" s="5" t="s">
        <v>59</v>
      </c>
      <c r="D12" s="5">
        <v>40410003</v>
      </c>
      <c r="E12" s="5">
        <v>70964</v>
      </c>
      <c r="F12" s="19" t="s">
        <v>140</v>
      </c>
      <c r="G12" s="5" t="s">
        <v>134</v>
      </c>
      <c r="H12" s="5" t="s">
        <v>141</v>
      </c>
      <c r="I12" s="5"/>
      <c r="J12" s="5">
        <v>2</v>
      </c>
      <c r="K12" s="5">
        <v>1</v>
      </c>
      <c r="L12" s="6">
        <v>2</v>
      </c>
      <c r="M12" s="5">
        <v>0</v>
      </c>
      <c r="N12" s="10">
        <f t="shared" si="0"/>
        <v>2</v>
      </c>
      <c r="P12" s="21" t="s">
        <v>142</v>
      </c>
    </row>
    <row r="13" spans="2:16">
      <c r="B13" s="9" t="s">
        <v>131</v>
      </c>
      <c r="C13" s="5" t="s">
        <v>59</v>
      </c>
      <c r="D13" s="5">
        <v>40410003</v>
      </c>
      <c r="E13" s="5">
        <v>70549</v>
      </c>
      <c r="F13" t="s">
        <v>143</v>
      </c>
      <c r="G13" s="5" t="s">
        <v>51</v>
      </c>
      <c r="H13" s="5" t="s">
        <v>51</v>
      </c>
      <c r="I13" s="5"/>
      <c r="J13" s="5">
        <v>6</v>
      </c>
      <c r="K13" s="5">
        <v>2</v>
      </c>
      <c r="L13" s="6">
        <v>6</v>
      </c>
      <c r="M13" s="5">
        <v>0</v>
      </c>
      <c r="N13" s="10">
        <f t="shared" si="0"/>
        <v>6</v>
      </c>
    </row>
    <row r="14" spans="2:16">
      <c r="B14" s="9" t="s">
        <v>131</v>
      </c>
      <c r="C14" s="5" t="s">
        <v>59</v>
      </c>
      <c r="D14" s="5">
        <v>40410003</v>
      </c>
      <c r="E14" s="5">
        <v>70155</v>
      </c>
      <c r="F14" s="19" t="s">
        <v>144</v>
      </c>
      <c r="G14" s="5" t="s">
        <v>51</v>
      </c>
      <c r="H14" s="5" t="s">
        <v>51</v>
      </c>
      <c r="I14" s="5"/>
      <c r="J14" s="5">
        <v>10</v>
      </c>
      <c r="K14" s="5">
        <v>3</v>
      </c>
      <c r="L14" s="6">
        <v>10</v>
      </c>
      <c r="M14" s="5">
        <v>0</v>
      </c>
      <c r="N14" s="10">
        <f t="shared" si="0"/>
        <v>10</v>
      </c>
    </row>
    <row r="15" spans="2:16">
      <c r="B15" s="9" t="s">
        <v>131</v>
      </c>
      <c r="C15" s="5" t="s">
        <v>59</v>
      </c>
      <c r="D15" s="5">
        <v>40410003</v>
      </c>
      <c r="E15" s="5">
        <v>70084</v>
      </c>
      <c r="F15" s="19" t="s">
        <v>145</v>
      </c>
      <c r="G15" s="5" t="s">
        <v>51</v>
      </c>
      <c r="H15" s="5" t="s">
        <v>51</v>
      </c>
      <c r="I15" s="5"/>
      <c r="J15" s="5">
        <v>50</v>
      </c>
      <c r="K15" s="5">
        <v>15</v>
      </c>
      <c r="L15" s="6">
        <v>36</v>
      </c>
      <c r="M15" s="5">
        <v>14</v>
      </c>
      <c r="N15" s="10">
        <f t="shared" si="0"/>
        <v>36</v>
      </c>
    </row>
    <row r="16" spans="2:16">
      <c r="B16" s="14" t="s">
        <v>146</v>
      </c>
      <c r="C16" s="15" t="s">
        <v>59</v>
      </c>
      <c r="D16" s="15">
        <v>40301096</v>
      </c>
      <c r="E16" s="5"/>
      <c r="F16" s="45" t="s">
        <v>147</v>
      </c>
      <c r="G16" s="48" t="s">
        <v>148</v>
      </c>
      <c r="H16" s="48" t="s">
        <v>149</v>
      </c>
      <c r="I16" s="5"/>
      <c r="J16" s="5">
        <v>3</v>
      </c>
      <c r="K16" s="5">
        <v>1</v>
      </c>
      <c r="L16" s="6"/>
      <c r="M16" s="5"/>
      <c r="N16" s="10">
        <f t="shared" ref="N16:N34" si="1">J16-M16</f>
        <v>3</v>
      </c>
    </row>
    <row r="17" spans="2:14">
      <c r="B17" s="14" t="s">
        <v>146</v>
      </c>
      <c r="C17" s="15" t="s">
        <v>59</v>
      </c>
      <c r="D17" s="15">
        <v>40301096</v>
      </c>
      <c r="E17" s="5"/>
      <c r="F17" s="43" t="s">
        <v>150</v>
      </c>
      <c r="G17" s="46" t="s">
        <v>31</v>
      </c>
      <c r="H17" s="46" t="s">
        <v>151</v>
      </c>
      <c r="I17" s="5"/>
      <c r="J17" s="5">
        <v>3</v>
      </c>
      <c r="K17" s="5">
        <v>1</v>
      </c>
      <c r="L17" s="6"/>
      <c r="M17" s="5"/>
      <c r="N17" s="10">
        <f t="shared" si="1"/>
        <v>3</v>
      </c>
    </row>
    <row r="18" spans="2:14">
      <c r="B18" s="14" t="s">
        <v>146</v>
      </c>
      <c r="C18" s="15" t="s">
        <v>59</v>
      </c>
      <c r="D18" s="15">
        <v>40301096</v>
      </c>
      <c r="E18" s="5"/>
      <c r="F18" s="43" t="s">
        <v>152</v>
      </c>
      <c r="G18" s="46" t="s">
        <v>148</v>
      </c>
      <c r="H18" s="46" t="s">
        <v>153</v>
      </c>
      <c r="I18" s="5"/>
      <c r="J18" s="5">
        <f>7*J16</f>
        <v>21</v>
      </c>
      <c r="K18" s="5">
        <v>7</v>
      </c>
      <c r="L18" s="6"/>
      <c r="M18" s="5"/>
      <c r="N18" s="10">
        <f t="shared" si="1"/>
        <v>21</v>
      </c>
    </row>
    <row r="19" spans="2:14">
      <c r="B19" s="14" t="s">
        <v>146</v>
      </c>
      <c r="C19" s="15" t="s">
        <v>59</v>
      </c>
      <c r="D19" s="15">
        <v>40301096</v>
      </c>
      <c r="E19" s="5"/>
      <c r="F19" s="43" t="s">
        <v>154</v>
      </c>
      <c r="G19" s="46" t="s">
        <v>148</v>
      </c>
      <c r="H19" s="46" t="s">
        <v>155</v>
      </c>
      <c r="I19" s="5"/>
      <c r="J19" s="5">
        <f>J16</f>
        <v>3</v>
      </c>
      <c r="K19" s="5">
        <v>1</v>
      </c>
      <c r="L19" s="6"/>
      <c r="M19" s="5"/>
      <c r="N19" s="10">
        <f t="shared" si="1"/>
        <v>3</v>
      </c>
    </row>
    <row r="20" spans="2:14">
      <c r="B20" s="14" t="s">
        <v>146</v>
      </c>
      <c r="C20" s="15" t="s">
        <v>59</v>
      </c>
      <c r="D20" s="15">
        <v>40301096</v>
      </c>
      <c r="E20" s="5"/>
      <c r="F20" s="43" t="s">
        <v>156</v>
      </c>
      <c r="G20" s="46" t="s">
        <v>157</v>
      </c>
      <c r="H20" s="46" t="s">
        <v>158</v>
      </c>
      <c r="I20" s="5"/>
      <c r="J20" s="5">
        <f>J18+J19</f>
        <v>24</v>
      </c>
      <c r="K20" s="5">
        <v>8</v>
      </c>
      <c r="L20" s="6"/>
      <c r="M20" s="5"/>
      <c r="N20" s="10">
        <f t="shared" si="1"/>
        <v>24</v>
      </c>
    </row>
    <row r="21" spans="2:14">
      <c r="B21" s="14" t="s">
        <v>146</v>
      </c>
      <c r="C21" s="15" t="s">
        <v>59</v>
      </c>
      <c r="D21" s="15">
        <v>40301096</v>
      </c>
      <c r="E21" s="15"/>
      <c r="F21" s="44" t="s">
        <v>159</v>
      </c>
      <c r="G21" s="47" t="s">
        <v>37</v>
      </c>
      <c r="H21" s="47" t="s">
        <v>160</v>
      </c>
      <c r="I21" s="15"/>
      <c r="J21" s="15">
        <f>J18+J19</f>
        <v>24</v>
      </c>
      <c r="K21" s="15">
        <v>8</v>
      </c>
      <c r="L21" s="17"/>
      <c r="M21" s="15"/>
      <c r="N21" s="18">
        <f t="shared" si="1"/>
        <v>24</v>
      </c>
    </row>
    <row r="22" spans="2:14">
      <c r="B22" s="14" t="s">
        <v>146</v>
      </c>
      <c r="C22" s="15" t="s">
        <v>59</v>
      </c>
      <c r="D22" s="15">
        <v>40301096</v>
      </c>
      <c r="E22" s="5"/>
      <c r="F22" s="45" t="s">
        <v>60</v>
      </c>
      <c r="G22" s="46" t="s">
        <v>61</v>
      </c>
      <c r="H22" s="46" t="s">
        <v>62</v>
      </c>
      <c r="I22" s="49"/>
      <c r="J22" s="5">
        <v>5</v>
      </c>
      <c r="K22" s="5">
        <v>2</v>
      </c>
      <c r="L22" s="6"/>
      <c r="M22" s="5"/>
      <c r="N22" s="10">
        <f t="shared" si="1"/>
        <v>5</v>
      </c>
    </row>
    <row r="23" spans="2:14">
      <c r="B23" s="14" t="s">
        <v>146</v>
      </c>
      <c r="C23" s="15" t="s">
        <v>59</v>
      </c>
      <c r="D23" s="15">
        <v>40301096</v>
      </c>
      <c r="E23" s="5"/>
      <c r="F23" s="43" t="s">
        <v>161</v>
      </c>
      <c r="G23" s="46" t="s">
        <v>61</v>
      </c>
      <c r="H23" s="46" t="s">
        <v>162</v>
      </c>
      <c r="I23" s="49"/>
      <c r="J23" s="5">
        <v>5</v>
      </c>
      <c r="K23" s="5">
        <v>2</v>
      </c>
      <c r="L23" s="6"/>
      <c r="M23" s="5"/>
      <c r="N23" s="10">
        <f t="shared" si="1"/>
        <v>5</v>
      </c>
    </row>
    <row r="24" spans="2:14">
      <c r="B24" s="14" t="s">
        <v>146</v>
      </c>
      <c r="C24" s="15" t="s">
        <v>59</v>
      </c>
      <c r="D24" s="15">
        <v>40301096</v>
      </c>
      <c r="E24" s="5"/>
      <c r="F24" s="43" t="s">
        <v>163</v>
      </c>
      <c r="G24" s="46" t="s">
        <v>97</v>
      </c>
      <c r="H24" s="46" t="s">
        <v>41</v>
      </c>
      <c r="I24" s="49"/>
      <c r="J24" s="5">
        <v>5</v>
      </c>
      <c r="K24" s="5">
        <v>2</v>
      </c>
      <c r="L24" s="6"/>
      <c r="M24" s="5"/>
      <c r="N24" s="10">
        <f t="shared" si="1"/>
        <v>5</v>
      </c>
    </row>
    <row r="25" spans="2:14">
      <c r="B25" s="14" t="s">
        <v>146</v>
      </c>
      <c r="C25" s="15" t="s">
        <v>59</v>
      </c>
      <c r="D25" s="15">
        <v>40301096</v>
      </c>
      <c r="E25" s="5"/>
      <c r="F25" s="43" t="s">
        <v>164</v>
      </c>
      <c r="G25" s="46" t="s">
        <v>37</v>
      </c>
      <c r="H25" s="46" t="s">
        <v>72</v>
      </c>
      <c r="I25" s="49"/>
      <c r="J25" s="5">
        <v>5</v>
      </c>
      <c r="K25" s="5">
        <v>2</v>
      </c>
      <c r="L25" s="6"/>
      <c r="M25" s="5"/>
      <c r="N25" s="10">
        <f t="shared" si="1"/>
        <v>5</v>
      </c>
    </row>
    <row r="26" spans="2:14">
      <c r="B26" s="14" t="s">
        <v>146</v>
      </c>
      <c r="C26" s="15" t="s">
        <v>59</v>
      </c>
      <c r="D26" s="15">
        <v>40301096</v>
      </c>
      <c r="E26" s="5"/>
      <c r="F26" s="43" t="s">
        <v>165</v>
      </c>
      <c r="G26" s="46" t="s">
        <v>61</v>
      </c>
      <c r="H26" s="46" t="s">
        <v>68</v>
      </c>
      <c r="I26" s="49"/>
      <c r="J26" s="5">
        <f>5*J23</f>
        <v>25</v>
      </c>
      <c r="K26" s="5">
        <v>10</v>
      </c>
      <c r="L26" s="6"/>
      <c r="M26" s="5"/>
      <c r="N26" s="10">
        <f t="shared" si="1"/>
        <v>25</v>
      </c>
    </row>
    <row r="27" spans="2:14">
      <c r="B27" s="14" t="s">
        <v>146</v>
      </c>
      <c r="C27" s="15" t="s">
        <v>59</v>
      </c>
      <c r="D27" s="15">
        <v>40301096</v>
      </c>
      <c r="E27" s="5"/>
      <c r="F27" s="43" t="s">
        <v>166</v>
      </c>
      <c r="G27" s="46" t="s">
        <v>97</v>
      </c>
      <c r="H27" s="46" t="s">
        <v>167</v>
      </c>
      <c r="I27" s="49"/>
      <c r="J27" s="5">
        <f>J22</f>
        <v>5</v>
      </c>
      <c r="K27" s="5">
        <v>2</v>
      </c>
      <c r="L27" s="6"/>
      <c r="M27" s="5"/>
      <c r="N27" s="10">
        <f t="shared" si="1"/>
        <v>5</v>
      </c>
    </row>
    <row r="28" spans="2:14">
      <c r="B28" s="14" t="s">
        <v>146</v>
      </c>
      <c r="C28" s="15" t="s">
        <v>59</v>
      </c>
      <c r="D28" s="15">
        <v>40301096</v>
      </c>
      <c r="E28" s="5"/>
      <c r="F28" s="43" t="s">
        <v>85</v>
      </c>
      <c r="G28" s="46" t="s">
        <v>37</v>
      </c>
      <c r="H28" s="46" t="s">
        <v>86</v>
      </c>
      <c r="I28" s="49"/>
      <c r="J28" s="5">
        <f>3*J22</f>
        <v>15</v>
      </c>
      <c r="K28" s="5">
        <v>6</v>
      </c>
      <c r="L28" s="6"/>
      <c r="M28" s="5"/>
      <c r="N28" s="10">
        <f t="shared" si="1"/>
        <v>15</v>
      </c>
    </row>
    <row r="29" spans="2:14">
      <c r="B29" s="14" t="s">
        <v>146</v>
      </c>
      <c r="C29" s="15" t="s">
        <v>59</v>
      </c>
      <c r="D29" s="15">
        <v>40301096</v>
      </c>
      <c r="E29" s="5"/>
      <c r="F29" s="43" t="s">
        <v>168</v>
      </c>
      <c r="G29" s="46" t="s">
        <v>37</v>
      </c>
      <c r="H29" s="46" t="s">
        <v>91</v>
      </c>
      <c r="I29" s="49"/>
      <c r="J29" s="5">
        <f>2*J22</f>
        <v>10</v>
      </c>
      <c r="K29" s="5">
        <v>4</v>
      </c>
      <c r="L29" s="6"/>
      <c r="M29" s="5"/>
      <c r="N29" s="10">
        <f t="shared" si="1"/>
        <v>10</v>
      </c>
    </row>
    <row r="30" spans="2:14">
      <c r="B30" s="14" t="s">
        <v>146</v>
      </c>
      <c r="C30" s="15" t="s">
        <v>59</v>
      </c>
      <c r="D30" s="15">
        <v>40301096</v>
      </c>
      <c r="E30" s="5"/>
      <c r="F30" s="43" t="s">
        <v>65</v>
      </c>
      <c r="G30" s="46" t="s">
        <v>157</v>
      </c>
      <c r="H30" s="46" t="s">
        <v>66</v>
      </c>
      <c r="I30" s="49"/>
      <c r="J30" s="5">
        <f>J22</f>
        <v>5</v>
      </c>
      <c r="K30" s="5">
        <v>2</v>
      </c>
      <c r="L30" s="6"/>
      <c r="M30" s="5"/>
      <c r="N30" s="10">
        <f t="shared" si="1"/>
        <v>5</v>
      </c>
    </row>
    <row r="31" spans="2:14">
      <c r="B31" s="14" t="s">
        <v>146</v>
      </c>
      <c r="C31" s="15" t="s">
        <v>59</v>
      </c>
      <c r="D31" s="15">
        <v>40301096</v>
      </c>
      <c r="E31" s="5"/>
      <c r="F31" s="43" t="s">
        <v>169</v>
      </c>
      <c r="G31" s="46" t="s">
        <v>37</v>
      </c>
      <c r="H31" s="46" t="s">
        <v>74</v>
      </c>
      <c r="I31" s="49"/>
      <c r="J31" s="5">
        <f>J22</f>
        <v>5</v>
      </c>
      <c r="K31" s="5">
        <v>2</v>
      </c>
      <c r="L31" s="6"/>
      <c r="M31" s="5"/>
      <c r="N31" s="10">
        <f t="shared" si="1"/>
        <v>5</v>
      </c>
    </row>
    <row r="32" spans="2:14">
      <c r="B32" s="14" t="s">
        <v>146</v>
      </c>
      <c r="C32" s="15" t="s">
        <v>59</v>
      </c>
      <c r="D32" s="15">
        <v>40301096</v>
      </c>
      <c r="E32" s="5"/>
      <c r="F32" s="43" t="s">
        <v>170</v>
      </c>
      <c r="G32" s="46" t="s">
        <v>61</v>
      </c>
      <c r="H32" s="46" t="s">
        <v>84</v>
      </c>
      <c r="I32" s="49"/>
      <c r="J32" s="5">
        <f>J22</f>
        <v>5</v>
      </c>
      <c r="K32" s="5">
        <v>2</v>
      </c>
      <c r="L32" s="6"/>
      <c r="M32" s="5"/>
      <c r="N32" s="10">
        <f t="shared" si="1"/>
        <v>5</v>
      </c>
    </row>
    <row r="33" spans="2:14">
      <c r="B33" s="14" t="s">
        <v>146</v>
      </c>
      <c r="C33" s="15" t="s">
        <v>59</v>
      </c>
      <c r="D33" s="15">
        <v>40301096</v>
      </c>
      <c r="E33" s="5"/>
      <c r="F33" s="43" t="s">
        <v>101</v>
      </c>
      <c r="G33" s="46" t="s">
        <v>37</v>
      </c>
      <c r="H33" s="46" t="s">
        <v>78</v>
      </c>
      <c r="I33" s="49"/>
      <c r="J33" s="5">
        <f>3*J22</f>
        <v>15</v>
      </c>
      <c r="K33" s="5">
        <v>5</v>
      </c>
      <c r="L33" s="6"/>
      <c r="M33" s="5"/>
      <c r="N33" s="10">
        <f t="shared" si="1"/>
        <v>15</v>
      </c>
    </row>
    <row r="34" spans="2:14">
      <c r="B34" s="14" t="s">
        <v>146</v>
      </c>
      <c r="C34" s="15" t="s">
        <v>59</v>
      </c>
      <c r="D34" s="15">
        <v>40301096</v>
      </c>
      <c r="E34" s="15"/>
      <c r="F34" s="44" t="s">
        <v>171</v>
      </c>
      <c r="G34" s="47" t="s">
        <v>80</v>
      </c>
      <c r="H34" s="47" t="s">
        <v>172</v>
      </c>
      <c r="I34" s="50"/>
      <c r="J34" s="15">
        <f>J22</f>
        <v>5</v>
      </c>
      <c r="K34" s="15">
        <v>2</v>
      </c>
      <c r="L34" s="17"/>
      <c r="M34" s="15"/>
      <c r="N34" s="18">
        <f t="shared" si="1"/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4A21-78E0-432C-91B3-D86907D404CC}">
  <dimension ref="B2:Q20"/>
  <sheetViews>
    <sheetView topLeftCell="I1" zoomScale="80" zoomScaleNormal="80" workbookViewId="0">
      <selection activeCell="O4" sqref="O4"/>
    </sheetView>
  </sheetViews>
  <sheetFormatPr baseColWidth="10" defaultColWidth="11.44140625" defaultRowHeight="14.4"/>
  <cols>
    <col min="1" max="1" width="4.5546875" customWidth="1"/>
    <col min="2" max="2" width="12.33203125" customWidth="1"/>
    <col min="3" max="3" width="12.88671875" bestFit="1" customWidth="1"/>
    <col min="4" max="4" width="18.5546875" bestFit="1" customWidth="1"/>
    <col min="5" max="5" width="27.33203125" bestFit="1" customWidth="1"/>
    <col min="6" max="6" width="12.33203125" customWidth="1"/>
    <col min="7" max="7" width="13.5546875" bestFit="1" customWidth="1"/>
    <col min="8" max="8" width="12.33203125" customWidth="1"/>
    <col min="9" max="9" width="123.109375" customWidth="1"/>
    <col min="10" max="10" width="12.33203125" customWidth="1"/>
    <col min="11" max="11" width="15.5546875" bestFit="1" customWidth="1"/>
    <col min="12" max="12" width="22.109375" bestFit="1" customWidth="1"/>
    <col min="13" max="13" width="13.33203125" customWidth="1"/>
    <col min="14" max="14" width="19.5546875" bestFit="1" customWidth="1"/>
    <col min="15" max="15" width="17.33203125" customWidth="1"/>
    <col min="16" max="16" width="15" customWidth="1"/>
    <col min="17" max="17" width="18.109375" customWidth="1"/>
  </cols>
  <sheetData>
    <row r="2" spans="2:17"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  <c r="I2" s="26" t="s">
        <v>7</v>
      </c>
      <c r="J2" s="26" t="s">
        <v>8</v>
      </c>
      <c r="K2" s="26" t="s">
        <v>9</v>
      </c>
      <c r="L2" s="26" t="s">
        <v>55</v>
      </c>
      <c r="M2" s="26" t="s">
        <v>173</v>
      </c>
      <c r="N2" s="26" t="s">
        <v>11</v>
      </c>
      <c r="O2" s="8" t="s">
        <v>12</v>
      </c>
      <c r="P2" s="8" t="s">
        <v>57</v>
      </c>
      <c r="Q2" s="8" t="s">
        <v>14</v>
      </c>
    </row>
    <row r="3" spans="2:17">
      <c r="B3" s="9" t="s">
        <v>16</v>
      </c>
      <c r="C3" s="5" t="s">
        <v>174</v>
      </c>
      <c r="D3" s="5" t="s">
        <v>35</v>
      </c>
      <c r="E3" s="5" t="s">
        <v>175</v>
      </c>
      <c r="F3" s="5" t="s">
        <v>59</v>
      </c>
      <c r="G3" s="5">
        <v>40208260</v>
      </c>
      <c r="H3" s="5">
        <v>73009</v>
      </c>
      <c r="I3" s="19" t="s">
        <v>176</v>
      </c>
      <c r="J3" s="5" t="s">
        <v>177</v>
      </c>
      <c r="K3" s="5" t="s">
        <v>178</v>
      </c>
      <c r="L3" s="5"/>
      <c r="M3" s="5">
        <v>5</v>
      </c>
      <c r="N3" s="5">
        <v>2</v>
      </c>
      <c r="O3" s="6">
        <v>2</v>
      </c>
      <c r="P3" s="22">
        <v>3</v>
      </c>
      <c r="Q3" s="10">
        <f t="shared" ref="Q3:Q20" si="0">M3-P3</f>
        <v>2</v>
      </c>
    </row>
    <row r="4" spans="2:17">
      <c r="B4" s="9" t="s">
        <v>16</v>
      </c>
      <c r="C4" s="5" t="s">
        <v>174</v>
      </c>
      <c r="D4" s="5" t="s">
        <v>35</v>
      </c>
      <c r="E4" s="5" t="s">
        <v>175</v>
      </c>
      <c r="F4" s="5" t="s">
        <v>59</v>
      </c>
      <c r="G4" s="5">
        <v>40208260</v>
      </c>
      <c r="H4" s="5">
        <v>72877</v>
      </c>
      <c r="I4" s="19" t="s">
        <v>179</v>
      </c>
      <c r="J4" s="5" t="s">
        <v>177</v>
      </c>
      <c r="K4" s="5" t="s">
        <v>180</v>
      </c>
      <c r="L4" s="5"/>
      <c r="M4" s="5">
        <v>5</v>
      </c>
      <c r="N4" s="5">
        <v>2</v>
      </c>
      <c r="O4" s="6">
        <v>2</v>
      </c>
      <c r="P4" s="23">
        <v>3</v>
      </c>
      <c r="Q4" s="10">
        <f t="shared" si="0"/>
        <v>2</v>
      </c>
    </row>
    <row r="5" spans="2:17">
      <c r="B5" s="9" t="s">
        <v>16</v>
      </c>
      <c r="C5" s="5" t="s">
        <v>174</v>
      </c>
      <c r="D5" s="5" t="s">
        <v>35</v>
      </c>
      <c r="E5" s="5" t="s">
        <v>175</v>
      </c>
      <c r="F5" s="5" t="s">
        <v>59</v>
      </c>
      <c r="G5" s="5">
        <v>40208260</v>
      </c>
      <c r="H5" s="5">
        <v>72862</v>
      </c>
      <c r="I5" s="19" t="s">
        <v>181</v>
      </c>
      <c r="J5" s="5" t="s">
        <v>177</v>
      </c>
      <c r="K5" s="5" t="s">
        <v>182</v>
      </c>
      <c r="L5" s="5"/>
      <c r="M5" s="5">
        <v>5</v>
      </c>
      <c r="N5" s="5">
        <v>2</v>
      </c>
      <c r="O5" s="6">
        <v>0</v>
      </c>
      <c r="P5" s="22">
        <v>7</v>
      </c>
      <c r="Q5" s="10">
        <f t="shared" si="0"/>
        <v>-2</v>
      </c>
    </row>
    <row r="6" spans="2:17">
      <c r="B6" s="9" t="s">
        <v>16</v>
      </c>
      <c r="C6" s="5" t="s">
        <v>174</v>
      </c>
      <c r="D6" s="5" t="s">
        <v>35</v>
      </c>
      <c r="E6" s="5" t="s">
        <v>175</v>
      </c>
      <c r="F6" s="5" t="s">
        <v>59</v>
      </c>
      <c r="G6" s="5">
        <v>40208260</v>
      </c>
      <c r="H6" s="5">
        <v>72861</v>
      </c>
      <c r="I6" s="19" t="s">
        <v>183</v>
      </c>
      <c r="J6" s="5" t="s">
        <v>177</v>
      </c>
      <c r="K6" s="5" t="s">
        <v>184</v>
      </c>
      <c r="L6" s="5"/>
      <c r="M6" s="5">
        <v>15</v>
      </c>
      <c r="N6" s="5">
        <v>6</v>
      </c>
      <c r="O6" s="6">
        <v>3</v>
      </c>
      <c r="P6" s="23">
        <v>12</v>
      </c>
      <c r="Q6" s="10">
        <f t="shared" si="0"/>
        <v>3</v>
      </c>
    </row>
    <row r="7" spans="2:17">
      <c r="B7" s="9" t="s">
        <v>16</v>
      </c>
      <c r="C7" s="5" t="s">
        <v>174</v>
      </c>
      <c r="D7" s="5" t="s">
        <v>35</v>
      </c>
      <c r="E7" s="5" t="s">
        <v>175</v>
      </c>
      <c r="F7" s="5" t="s">
        <v>59</v>
      </c>
      <c r="G7" s="5">
        <v>40208260</v>
      </c>
      <c r="H7" s="5">
        <v>72683</v>
      </c>
      <c r="I7" s="19" t="s">
        <v>185</v>
      </c>
      <c r="J7" s="5" t="s">
        <v>177</v>
      </c>
      <c r="K7" s="5" t="s">
        <v>186</v>
      </c>
      <c r="L7" s="5"/>
      <c r="M7" s="5">
        <v>5</v>
      </c>
      <c r="N7" s="5">
        <v>2</v>
      </c>
      <c r="O7" s="6">
        <v>0</v>
      </c>
      <c r="P7" s="22">
        <v>50</v>
      </c>
      <c r="Q7" s="10">
        <f t="shared" si="0"/>
        <v>-45</v>
      </c>
    </row>
    <row r="8" spans="2:17">
      <c r="B8" s="9" t="s">
        <v>16</v>
      </c>
      <c r="C8" s="5" t="s">
        <v>174</v>
      </c>
      <c r="D8" s="5" t="s">
        <v>35</v>
      </c>
      <c r="E8" s="5" t="s">
        <v>175</v>
      </c>
      <c r="F8" s="5" t="s">
        <v>59</v>
      </c>
      <c r="G8" s="5">
        <v>40208260</v>
      </c>
      <c r="H8" s="5">
        <v>72859</v>
      </c>
      <c r="I8" s="19" t="s">
        <v>187</v>
      </c>
      <c r="J8" s="5" t="s">
        <v>177</v>
      </c>
      <c r="K8" s="5" t="s">
        <v>188</v>
      </c>
      <c r="L8" s="5"/>
      <c r="M8" s="5">
        <v>35</v>
      </c>
      <c r="N8" s="5">
        <v>14</v>
      </c>
      <c r="O8" s="6">
        <v>10</v>
      </c>
      <c r="P8" s="23">
        <v>25</v>
      </c>
      <c r="Q8" s="10">
        <f t="shared" si="0"/>
        <v>10</v>
      </c>
    </row>
    <row r="9" spans="2:17">
      <c r="B9" s="9" t="s">
        <v>16</v>
      </c>
      <c r="C9" s="5" t="s">
        <v>174</v>
      </c>
      <c r="D9" s="5" t="s">
        <v>35</v>
      </c>
      <c r="E9" s="5" t="s">
        <v>175</v>
      </c>
      <c r="F9" s="5" t="s">
        <v>59</v>
      </c>
      <c r="G9" s="5">
        <v>40208260</v>
      </c>
      <c r="H9" s="5">
        <v>72860</v>
      </c>
      <c r="I9" s="19" t="s">
        <v>189</v>
      </c>
      <c r="J9" s="5" t="s">
        <v>177</v>
      </c>
      <c r="K9" s="5" t="s">
        <v>190</v>
      </c>
      <c r="L9" s="5"/>
      <c r="M9" s="5">
        <v>50</v>
      </c>
      <c r="N9" s="5">
        <v>20</v>
      </c>
      <c r="O9" s="6">
        <v>0</v>
      </c>
      <c r="P9" s="22">
        <v>74</v>
      </c>
      <c r="Q9" s="10">
        <f t="shared" si="0"/>
        <v>-24</v>
      </c>
    </row>
    <row r="10" spans="2:17">
      <c r="B10" s="9" t="s">
        <v>16</v>
      </c>
      <c r="C10" s="5" t="s">
        <v>174</v>
      </c>
      <c r="D10" s="5" t="s">
        <v>35</v>
      </c>
      <c r="E10" s="5" t="s">
        <v>175</v>
      </c>
      <c r="F10" s="5" t="s">
        <v>59</v>
      </c>
      <c r="G10" s="5">
        <v>40208260</v>
      </c>
      <c r="H10" s="5">
        <v>73012</v>
      </c>
      <c r="I10" s="19" t="s">
        <v>191</v>
      </c>
      <c r="J10" s="5" t="s">
        <v>177</v>
      </c>
      <c r="K10" s="5" t="s">
        <v>192</v>
      </c>
      <c r="L10" s="5"/>
      <c r="M10" s="5">
        <v>25</v>
      </c>
      <c r="N10" s="5">
        <v>10</v>
      </c>
      <c r="O10" s="6">
        <v>14</v>
      </c>
      <c r="P10" s="23">
        <v>11</v>
      </c>
      <c r="Q10" s="10">
        <f t="shared" si="0"/>
        <v>14</v>
      </c>
    </row>
    <row r="11" spans="2:17">
      <c r="B11" s="9" t="s">
        <v>16</v>
      </c>
      <c r="C11" s="5" t="s">
        <v>174</v>
      </c>
      <c r="D11" s="5" t="s">
        <v>35</v>
      </c>
      <c r="E11" s="5" t="s">
        <v>175</v>
      </c>
      <c r="F11" s="5" t="s">
        <v>59</v>
      </c>
      <c r="G11" s="5">
        <v>40208260</v>
      </c>
      <c r="H11" s="5">
        <v>73013</v>
      </c>
      <c r="I11" s="19" t="s">
        <v>193</v>
      </c>
      <c r="J11" s="5" t="s">
        <v>177</v>
      </c>
      <c r="K11" s="5" t="s">
        <v>194</v>
      </c>
      <c r="L11" s="5"/>
      <c r="M11" s="5">
        <v>5</v>
      </c>
      <c r="N11" s="5">
        <v>2</v>
      </c>
      <c r="O11" s="6">
        <v>5</v>
      </c>
      <c r="P11" s="22">
        <v>0</v>
      </c>
      <c r="Q11" s="10">
        <f t="shared" si="0"/>
        <v>5</v>
      </c>
    </row>
    <row r="12" spans="2:17">
      <c r="B12" s="9" t="s">
        <v>16</v>
      </c>
      <c r="C12" s="5" t="s">
        <v>174</v>
      </c>
      <c r="D12" s="5" t="s">
        <v>35</v>
      </c>
      <c r="E12" s="5" t="s">
        <v>175</v>
      </c>
      <c r="F12" s="5" t="s">
        <v>59</v>
      </c>
      <c r="G12" s="5">
        <v>40208260</v>
      </c>
      <c r="H12" s="5">
        <v>72999</v>
      </c>
      <c r="I12" s="19" t="s">
        <v>195</v>
      </c>
      <c r="J12" s="5" t="s">
        <v>177</v>
      </c>
      <c r="K12" s="5" t="s">
        <v>196</v>
      </c>
      <c r="L12" s="5"/>
      <c r="M12" s="5">
        <v>5</v>
      </c>
      <c r="N12" s="5">
        <v>2</v>
      </c>
      <c r="O12" s="6">
        <v>5</v>
      </c>
      <c r="P12" s="23">
        <v>0</v>
      </c>
      <c r="Q12" s="10">
        <f t="shared" si="0"/>
        <v>5</v>
      </c>
    </row>
    <row r="13" spans="2:17">
      <c r="B13" s="9" t="s">
        <v>16</v>
      </c>
      <c r="C13" s="5" t="s">
        <v>174</v>
      </c>
      <c r="D13" s="5" t="s">
        <v>35</v>
      </c>
      <c r="E13" s="5" t="s">
        <v>175</v>
      </c>
      <c r="F13" s="5" t="s">
        <v>59</v>
      </c>
      <c r="G13" s="5">
        <v>40208260</v>
      </c>
      <c r="H13" s="5">
        <v>73011</v>
      </c>
      <c r="I13" s="19" t="s">
        <v>197</v>
      </c>
      <c r="J13" s="5" t="s">
        <v>177</v>
      </c>
      <c r="K13" s="5" t="s">
        <v>198</v>
      </c>
      <c r="L13" s="5"/>
      <c r="M13" s="5">
        <v>45</v>
      </c>
      <c r="N13" s="5">
        <v>18</v>
      </c>
      <c r="O13" s="6">
        <v>45</v>
      </c>
      <c r="P13" s="22">
        <v>0</v>
      </c>
      <c r="Q13" s="10">
        <f t="shared" si="0"/>
        <v>45</v>
      </c>
    </row>
    <row r="14" spans="2:17">
      <c r="B14" s="9" t="s">
        <v>16</v>
      </c>
      <c r="C14" s="5" t="s">
        <v>174</v>
      </c>
      <c r="D14" s="5" t="s">
        <v>35</v>
      </c>
      <c r="E14" s="5" t="s">
        <v>175</v>
      </c>
      <c r="F14" s="5" t="s">
        <v>59</v>
      </c>
      <c r="G14" s="5">
        <v>40208260</v>
      </c>
      <c r="H14" s="5">
        <v>72612</v>
      </c>
      <c r="I14" s="19" t="s">
        <v>199</v>
      </c>
      <c r="J14" s="5" t="s">
        <v>97</v>
      </c>
      <c r="K14" s="5" t="s">
        <v>200</v>
      </c>
      <c r="L14" s="5"/>
      <c r="M14" s="5">
        <v>10</v>
      </c>
      <c r="N14" s="5">
        <v>4</v>
      </c>
      <c r="O14" s="6">
        <v>0</v>
      </c>
      <c r="P14" s="23">
        <v>10</v>
      </c>
      <c r="Q14" s="10">
        <f t="shared" si="0"/>
        <v>0</v>
      </c>
    </row>
    <row r="15" spans="2:17">
      <c r="B15" s="9" t="s">
        <v>16</v>
      </c>
      <c r="C15" s="5" t="s">
        <v>174</v>
      </c>
      <c r="D15" s="5" t="s">
        <v>35</v>
      </c>
      <c r="E15" s="5" t="s">
        <v>175</v>
      </c>
      <c r="F15" s="5" t="s">
        <v>59</v>
      </c>
      <c r="G15" s="5">
        <v>40208260</v>
      </c>
      <c r="H15" s="5">
        <v>72874</v>
      </c>
      <c r="I15" s="19" t="s">
        <v>201</v>
      </c>
      <c r="J15" s="5" t="s">
        <v>177</v>
      </c>
      <c r="K15" s="5" t="s">
        <v>202</v>
      </c>
      <c r="L15" s="5"/>
      <c r="M15" s="5">
        <v>5</v>
      </c>
      <c r="N15" s="5">
        <v>2</v>
      </c>
      <c r="O15" s="6">
        <v>0</v>
      </c>
      <c r="P15" s="22">
        <v>6</v>
      </c>
      <c r="Q15" s="10">
        <f t="shared" si="0"/>
        <v>-1</v>
      </c>
    </row>
    <row r="16" spans="2:17">
      <c r="B16" s="9" t="s">
        <v>16</v>
      </c>
      <c r="C16" s="5" t="s">
        <v>174</v>
      </c>
      <c r="D16" s="5" t="s">
        <v>203</v>
      </c>
      <c r="E16" s="5" t="s">
        <v>175</v>
      </c>
      <c r="F16" s="5" t="s">
        <v>59</v>
      </c>
      <c r="G16" s="5">
        <v>40208260</v>
      </c>
      <c r="H16" s="5">
        <v>76805</v>
      </c>
      <c r="I16" s="24" t="s">
        <v>204</v>
      </c>
      <c r="J16" s="27" t="s">
        <v>205</v>
      </c>
      <c r="K16" s="5" t="s">
        <v>206</v>
      </c>
      <c r="L16" s="5"/>
      <c r="M16" s="5">
        <v>5</v>
      </c>
      <c r="N16" s="5">
        <v>2</v>
      </c>
      <c r="O16" s="6">
        <v>3</v>
      </c>
      <c r="P16" s="23">
        <v>2</v>
      </c>
      <c r="Q16" s="10">
        <f t="shared" si="0"/>
        <v>3</v>
      </c>
    </row>
    <row r="17" spans="2:17">
      <c r="B17" s="9" t="s">
        <v>16</v>
      </c>
      <c r="C17" s="5" t="s">
        <v>174</v>
      </c>
      <c r="D17" s="5" t="s">
        <v>203</v>
      </c>
      <c r="E17" s="5" t="s">
        <v>175</v>
      </c>
      <c r="F17" s="5" t="s">
        <v>59</v>
      </c>
      <c r="G17" s="5">
        <v>40208260</v>
      </c>
      <c r="H17" s="5">
        <v>77145</v>
      </c>
      <c r="I17" s="19" t="s">
        <v>207</v>
      </c>
      <c r="J17" s="5" t="s">
        <v>177</v>
      </c>
      <c r="K17" s="5" t="s">
        <v>208</v>
      </c>
      <c r="L17" s="5"/>
      <c r="M17" s="5">
        <v>5</v>
      </c>
      <c r="N17" s="5">
        <v>2</v>
      </c>
      <c r="O17" s="6">
        <v>5</v>
      </c>
      <c r="P17" s="22">
        <v>0</v>
      </c>
      <c r="Q17" s="10">
        <f t="shared" si="0"/>
        <v>5</v>
      </c>
    </row>
    <row r="18" spans="2:17">
      <c r="B18" s="9" t="s">
        <v>16</v>
      </c>
      <c r="C18" s="5" t="s">
        <v>174</v>
      </c>
      <c r="D18" s="5" t="s">
        <v>203</v>
      </c>
      <c r="E18" s="5" t="s">
        <v>175</v>
      </c>
      <c r="F18" s="5" t="s">
        <v>59</v>
      </c>
      <c r="G18" s="5">
        <v>40208260</v>
      </c>
      <c r="H18" s="5">
        <v>72862</v>
      </c>
      <c r="I18" s="24" t="s">
        <v>209</v>
      </c>
      <c r="J18" s="27" t="s">
        <v>177</v>
      </c>
      <c r="K18" s="5" t="s">
        <v>182</v>
      </c>
      <c r="L18" s="5"/>
      <c r="M18" s="5">
        <v>5</v>
      </c>
      <c r="N18" s="5">
        <v>2</v>
      </c>
      <c r="O18" s="6">
        <v>0</v>
      </c>
      <c r="P18" s="23">
        <v>7</v>
      </c>
      <c r="Q18" s="10">
        <f t="shared" si="0"/>
        <v>-2</v>
      </c>
    </row>
    <row r="19" spans="2:17">
      <c r="B19" s="9" t="s">
        <v>16</v>
      </c>
      <c r="C19" s="5" t="s">
        <v>174</v>
      </c>
      <c r="D19" s="5" t="s">
        <v>203</v>
      </c>
      <c r="E19" s="5" t="s">
        <v>175</v>
      </c>
      <c r="F19" s="5" t="s">
        <v>59</v>
      </c>
      <c r="G19" s="5">
        <v>40208260</v>
      </c>
      <c r="H19" s="5">
        <v>73010</v>
      </c>
      <c r="I19" s="19" t="s">
        <v>210</v>
      </c>
      <c r="J19" s="5" t="s">
        <v>88</v>
      </c>
      <c r="K19" s="5" t="s">
        <v>211</v>
      </c>
      <c r="L19" s="5"/>
      <c r="M19" s="5">
        <v>5</v>
      </c>
      <c r="N19" s="5">
        <v>2</v>
      </c>
      <c r="O19" s="6">
        <v>5</v>
      </c>
      <c r="P19" s="22">
        <v>0</v>
      </c>
      <c r="Q19" s="10">
        <f t="shared" si="0"/>
        <v>5</v>
      </c>
    </row>
    <row r="20" spans="2:17">
      <c r="B20" s="14" t="s">
        <v>16</v>
      </c>
      <c r="C20" s="15" t="s">
        <v>174</v>
      </c>
      <c r="D20" s="15" t="s">
        <v>203</v>
      </c>
      <c r="E20" s="15" t="s">
        <v>175</v>
      </c>
      <c r="F20" s="15" t="s">
        <v>59</v>
      </c>
      <c r="G20" s="15">
        <v>40208260</v>
      </c>
      <c r="H20" s="15">
        <v>72999</v>
      </c>
      <c r="I20" s="20" t="s">
        <v>212</v>
      </c>
      <c r="J20" s="15" t="s">
        <v>88</v>
      </c>
      <c r="K20" s="15" t="s">
        <v>196</v>
      </c>
      <c r="L20" s="15"/>
      <c r="M20" s="15">
        <v>5</v>
      </c>
      <c r="N20" s="15">
        <v>2</v>
      </c>
      <c r="O20" s="17">
        <v>5</v>
      </c>
      <c r="P20" s="25">
        <v>0</v>
      </c>
      <c r="Q20" s="18">
        <f t="shared" si="0"/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N96"/>
  <sheetViews>
    <sheetView zoomScale="80" zoomScaleNormal="80" workbookViewId="0">
      <selection activeCell="C2" sqref="C2"/>
    </sheetView>
  </sheetViews>
  <sheetFormatPr baseColWidth="10" defaultColWidth="9.109375" defaultRowHeight="14.4"/>
  <cols>
    <col min="2" max="2" width="11.44140625" bestFit="1" customWidth="1"/>
    <col min="3" max="3" width="15.33203125" bestFit="1" customWidth="1"/>
    <col min="4" max="4" width="18.5546875" bestFit="1" customWidth="1"/>
    <col min="5" max="5" width="27.33203125" bestFit="1" customWidth="1"/>
    <col min="6" max="6" width="14.109375" bestFit="1" customWidth="1"/>
    <col min="7" max="7" width="13.5546875" customWidth="1"/>
    <col min="9" max="9" width="204.5546875" bestFit="1" customWidth="1"/>
    <col min="10" max="10" width="18.44140625" bestFit="1" customWidth="1"/>
    <col min="11" max="11" width="19.33203125" bestFit="1" customWidth="1"/>
    <col min="12" max="12" width="21.33203125" customWidth="1"/>
    <col min="14" max="14" width="22.44140625" bestFit="1" customWidth="1"/>
  </cols>
  <sheetData>
    <row r="2" spans="2:14">
      <c r="B2" t="s">
        <v>0</v>
      </c>
      <c r="C2" t="s">
        <v>213</v>
      </c>
      <c r="D2" t="s">
        <v>214</v>
      </c>
      <c r="E2" t="s">
        <v>215</v>
      </c>
      <c r="F2" t="s">
        <v>4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 t="s">
        <v>221</v>
      </c>
      <c r="M2" t="s">
        <v>222</v>
      </c>
      <c r="N2" t="s">
        <v>223</v>
      </c>
    </row>
    <row r="3" spans="2:14">
      <c r="B3" t="s">
        <v>33</v>
      </c>
      <c r="C3" t="s">
        <v>224</v>
      </c>
      <c r="D3" t="s">
        <v>35</v>
      </c>
      <c r="E3" t="s">
        <v>131</v>
      </c>
      <c r="F3" t="s">
        <v>59</v>
      </c>
      <c r="G3">
        <v>4040097</v>
      </c>
      <c r="H3">
        <v>72897</v>
      </c>
      <c r="I3" t="s">
        <v>132</v>
      </c>
      <c r="J3" t="s">
        <v>40</v>
      </c>
      <c r="K3" t="s">
        <v>41</v>
      </c>
      <c r="M3">
        <v>15</v>
      </c>
      <c r="N3">
        <v>3</v>
      </c>
    </row>
    <row r="4" spans="2:14">
      <c r="B4" t="s">
        <v>33</v>
      </c>
      <c r="C4" t="s">
        <v>224</v>
      </c>
      <c r="D4" t="s">
        <v>35</v>
      </c>
      <c r="E4" t="s">
        <v>131</v>
      </c>
      <c r="F4" t="s">
        <v>59</v>
      </c>
      <c r="G4">
        <v>4040097</v>
      </c>
      <c r="H4">
        <v>72543</v>
      </c>
      <c r="I4" t="s">
        <v>42</v>
      </c>
      <c r="J4" t="s">
        <v>43</v>
      </c>
      <c r="K4" t="s">
        <v>44</v>
      </c>
      <c r="M4">
        <v>50</v>
      </c>
      <c r="N4">
        <v>10</v>
      </c>
    </row>
    <row r="5" spans="2:14">
      <c r="B5" t="s">
        <v>33</v>
      </c>
      <c r="C5" t="s">
        <v>224</v>
      </c>
      <c r="D5" t="s">
        <v>35</v>
      </c>
      <c r="E5" t="s">
        <v>131</v>
      </c>
      <c r="F5" t="s">
        <v>59</v>
      </c>
      <c r="G5">
        <v>4040097</v>
      </c>
      <c r="H5">
        <v>72543</v>
      </c>
      <c r="I5" t="s">
        <v>46</v>
      </c>
      <c r="J5" t="s">
        <v>43</v>
      </c>
      <c r="K5" t="s">
        <v>47</v>
      </c>
      <c r="M5">
        <v>50</v>
      </c>
      <c r="N5">
        <v>10</v>
      </c>
    </row>
    <row r="6" spans="2:14">
      <c r="B6" t="s">
        <v>33</v>
      </c>
      <c r="C6" t="s">
        <v>224</v>
      </c>
      <c r="D6" t="s">
        <v>35</v>
      </c>
      <c r="E6" t="s">
        <v>131</v>
      </c>
      <c r="F6" t="s">
        <v>59</v>
      </c>
      <c r="G6">
        <v>4040097</v>
      </c>
      <c r="H6">
        <v>72867</v>
      </c>
      <c r="I6" t="s">
        <v>48</v>
      </c>
      <c r="J6" t="s">
        <v>43</v>
      </c>
      <c r="K6" t="s">
        <v>49</v>
      </c>
      <c r="M6">
        <v>10</v>
      </c>
      <c r="N6">
        <v>3</v>
      </c>
    </row>
    <row r="7" spans="2:14">
      <c r="B7" t="s">
        <v>33</v>
      </c>
      <c r="C7" t="s">
        <v>224</v>
      </c>
      <c r="D7" t="s">
        <v>35</v>
      </c>
      <c r="E7" t="s">
        <v>131</v>
      </c>
      <c r="F7" t="s">
        <v>59</v>
      </c>
      <c r="G7">
        <v>4040097</v>
      </c>
      <c r="H7">
        <v>72984</v>
      </c>
      <c r="I7" t="s">
        <v>50</v>
      </c>
      <c r="J7" t="s">
        <v>43</v>
      </c>
      <c r="K7" t="s">
        <v>51</v>
      </c>
      <c r="M7">
        <v>25</v>
      </c>
      <c r="N7">
        <v>5</v>
      </c>
    </row>
    <row r="8" spans="2:14">
      <c r="B8" t="s">
        <v>33</v>
      </c>
      <c r="C8" t="s">
        <v>224</v>
      </c>
      <c r="D8" t="s">
        <v>18</v>
      </c>
      <c r="E8" t="s">
        <v>131</v>
      </c>
      <c r="F8" t="s">
        <v>59</v>
      </c>
      <c r="G8">
        <v>4040097</v>
      </c>
      <c r="H8">
        <v>70622</v>
      </c>
      <c r="I8" t="s">
        <v>133</v>
      </c>
      <c r="J8" t="s">
        <v>134</v>
      </c>
      <c r="K8" t="s">
        <v>135</v>
      </c>
      <c r="M8">
        <v>5</v>
      </c>
      <c r="N8">
        <v>1</v>
      </c>
    </row>
    <row r="9" spans="2:14">
      <c r="B9" t="s">
        <v>33</v>
      </c>
      <c r="C9" t="s">
        <v>224</v>
      </c>
      <c r="D9" t="s">
        <v>18</v>
      </c>
      <c r="E9" t="s">
        <v>131</v>
      </c>
      <c r="F9" t="s">
        <v>59</v>
      </c>
      <c r="G9">
        <v>4040097</v>
      </c>
      <c r="H9">
        <v>70405</v>
      </c>
      <c r="I9" t="s">
        <v>136</v>
      </c>
      <c r="J9" t="s">
        <v>134</v>
      </c>
      <c r="K9" t="s">
        <v>137</v>
      </c>
      <c r="M9">
        <v>2</v>
      </c>
      <c r="N9">
        <v>1</v>
      </c>
    </row>
    <row r="10" spans="2:14">
      <c r="B10" t="s">
        <v>33</v>
      </c>
      <c r="C10" t="s">
        <v>224</v>
      </c>
      <c r="D10" t="s">
        <v>18</v>
      </c>
      <c r="E10" t="s">
        <v>131</v>
      </c>
      <c r="F10" t="s">
        <v>59</v>
      </c>
      <c r="G10">
        <v>4040097</v>
      </c>
      <c r="H10">
        <v>78354</v>
      </c>
      <c r="I10" t="s">
        <v>30</v>
      </c>
      <c r="J10" t="s">
        <v>31</v>
      </c>
      <c r="K10" t="s">
        <v>32</v>
      </c>
      <c r="M10">
        <v>20</v>
      </c>
      <c r="N10">
        <v>5</v>
      </c>
    </row>
    <row r="11" spans="2:14">
      <c r="B11" t="s">
        <v>33</v>
      </c>
      <c r="C11" t="s">
        <v>224</v>
      </c>
      <c r="D11" t="s">
        <v>18</v>
      </c>
      <c r="E11" t="s">
        <v>131</v>
      </c>
      <c r="F11" t="s">
        <v>59</v>
      </c>
      <c r="G11">
        <v>4040097</v>
      </c>
      <c r="H11">
        <v>70963</v>
      </c>
      <c r="I11" t="s">
        <v>138</v>
      </c>
      <c r="J11" t="s">
        <v>134</v>
      </c>
      <c r="K11" t="s">
        <v>139</v>
      </c>
      <c r="M11">
        <v>5</v>
      </c>
      <c r="N11">
        <v>2</v>
      </c>
    </row>
    <row r="12" spans="2:14">
      <c r="B12" t="s">
        <v>33</v>
      </c>
      <c r="C12" t="s">
        <v>224</v>
      </c>
      <c r="D12" t="s">
        <v>18</v>
      </c>
      <c r="E12" t="s">
        <v>131</v>
      </c>
      <c r="F12" t="s">
        <v>59</v>
      </c>
      <c r="G12">
        <v>4040097</v>
      </c>
      <c r="H12">
        <v>70964</v>
      </c>
      <c r="I12" t="s">
        <v>140</v>
      </c>
      <c r="J12" t="s">
        <v>134</v>
      </c>
      <c r="K12" t="s">
        <v>141</v>
      </c>
      <c r="M12">
        <v>2</v>
      </c>
      <c r="N12">
        <v>1</v>
      </c>
    </row>
    <row r="13" spans="2:14">
      <c r="B13" t="s">
        <v>33</v>
      </c>
      <c r="C13" t="s">
        <v>224</v>
      </c>
      <c r="D13" t="s">
        <v>18</v>
      </c>
      <c r="E13" t="s">
        <v>131</v>
      </c>
      <c r="F13" t="s">
        <v>59</v>
      </c>
      <c r="G13">
        <v>4040097</v>
      </c>
      <c r="H13">
        <v>70549</v>
      </c>
      <c r="I13" t="s">
        <v>143</v>
      </c>
      <c r="J13" t="s">
        <v>51</v>
      </c>
      <c r="K13" t="s">
        <v>51</v>
      </c>
      <c r="M13">
        <v>6</v>
      </c>
      <c r="N13">
        <v>2</v>
      </c>
    </row>
    <row r="14" spans="2:14">
      <c r="B14" t="s">
        <v>33</v>
      </c>
      <c r="C14" t="s">
        <v>224</v>
      </c>
      <c r="D14" t="s">
        <v>18</v>
      </c>
      <c r="E14" t="s">
        <v>131</v>
      </c>
      <c r="F14" t="s">
        <v>59</v>
      </c>
      <c r="G14">
        <v>4040097</v>
      </c>
      <c r="H14">
        <v>70155</v>
      </c>
      <c r="I14" t="s">
        <v>144</v>
      </c>
      <c r="J14" t="s">
        <v>51</v>
      </c>
      <c r="K14" t="s">
        <v>51</v>
      </c>
      <c r="M14">
        <v>10</v>
      </c>
      <c r="N14">
        <v>3</v>
      </c>
    </row>
    <row r="15" spans="2:14">
      <c r="B15" t="s">
        <v>33</v>
      </c>
      <c r="C15" t="s">
        <v>224</v>
      </c>
      <c r="D15" t="s">
        <v>18</v>
      </c>
      <c r="E15" t="s">
        <v>131</v>
      </c>
      <c r="F15" t="s">
        <v>59</v>
      </c>
      <c r="G15">
        <v>4040097</v>
      </c>
      <c r="H15">
        <v>70084</v>
      </c>
      <c r="I15" s="52" t="s">
        <v>145</v>
      </c>
      <c r="J15" t="s">
        <v>51</v>
      </c>
      <c r="K15" t="s">
        <v>51</v>
      </c>
      <c r="M15">
        <v>50</v>
      </c>
      <c r="N15">
        <v>15</v>
      </c>
    </row>
    <row r="16" spans="2:14" hidden="1">
      <c r="B16" t="s">
        <v>16</v>
      </c>
      <c r="C16" t="s">
        <v>17</v>
      </c>
      <c r="D16" t="s">
        <v>35</v>
      </c>
      <c r="E16" t="s">
        <v>146</v>
      </c>
      <c r="F16" t="s">
        <v>59</v>
      </c>
      <c r="G16">
        <v>40301096</v>
      </c>
      <c r="I16" t="s">
        <v>60</v>
      </c>
      <c r="J16" t="s">
        <v>61</v>
      </c>
      <c r="K16" t="s">
        <v>62</v>
      </c>
      <c r="M16">
        <v>5</v>
      </c>
      <c r="N16">
        <v>2</v>
      </c>
    </row>
    <row r="17" spans="2:14" hidden="1">
      <c r="B17" t="s">
        <v>16</v>
      </c>
      <c r="C17" t="s">
        <v>17</v>
      </c>
      <c r="D17" t="s">
        <v>35</v>
      </c>
      <c r="E17" t="s">
        <v>146</v>
      </c>
      <c r="F17" t="s">
        <v>59</v>
      </c>
      <c r="G17">
        <v>40301096</v>
      </c>
      <c r="I17" t="s">
        <v>161</v>
      </c>
      <c r="J17" t="s">
        <v>61</v>
      </c>
      <c r="K17" t="s">
        <v>162</v>
      </c>
      <c r="M17">
        <v>5</v>
      </c>
      <c r="N17">
        <v>2</v>
      </c>
    </row>
    <row r="18" spans="2:14" hidden="1">
      <c r="B18" t="s">
        <v>16</v>
      </c>
      <c r="C18" t="s">
        <v>17</v>
      </c>
      <c r="D18" t="s">
        <v>35</v>
      </c>
      <c r="E18" t="s">
        <v>146</v>
      </c>
      <c r="F18" t="s">
        <v>59</v>
      </c>
      <c r="G18">
        <v>40301096</v>
      </c>
      <c r="I18" t="s">
        <v>163</v>
      </c>
      <c r="J18" t="s">
        <v>97</v>
      </c>
      <c r="K18" t="s">
        <v>41</v>
      </c>
      <c r="M18">
        <v>5</v>
      </c>
      <c r="N18">
        <v>2</v>
      </c>
    </row>
    <row r="19" spans="2:14" hidden="1">
      <c r="B19" t="s">
        <v>16</v>
      </c>
      <c r="C19" t="s">
        <v>17</v>
      </c>
      <c r="D19" t="s">
        <v>35</v>
      </c>
      <c r="E19" t="s">
        <v>146</v>
      </c>
      <c r="F19" t="s">
        <v>59</v>
      </c>
      <c r="G19">
        <v>40301096</v>
      </c>
      <c r="I19" t="s">
        <v>164</v>
      </c>
      <c r="J19" t="s">
        <v>37</v>
      </c>
      <c r="K19" t="s">
        <v>72</v>
      </c>
      <c r="M19">
        <v>5</v>
      </c>
      <c r="N19">
        <v>2</v>
      </c>
    </row>
    <row r="20" spans="2:14" hidden="1">
      <c r="B20" t="s">
        <v>16</v>
      </c>
      <c r="C20" t="s">
        <v>17</v>
      </c>
      <c r="D20" t="s">
        <v>35</v>
      </c>
      <c r="E20" t="s">
        <v>146</v>
      </c>
      <c r="F20" t="s">
        <v>59</v>
      </c>
      <c r="G20">
        <v>40301096</v>
      </c>
      <c r="I20" t="s">
        <v>165</v>
      </c>
      <c r="J20" t="s">
        <v>61</v>
      </c>
      <c r="K20" t="s">
        <v>68</v>
      </c>
      <c r="M20">
        <v>25</v>
      </c>
      <c r="N20">
        <v>10</v>
      </c>
    </row>
    <row r="21" spans="2:14" hidden="1">
      <c r="B21" t="s">
        <v>16</v>
      </c>
      <c r="C21" t="s">
        <v>17</v>
      </c>
      <c r="D21" t="s">
        <v>35</v>
      </c>
      <c r="E21" t="s">
        <v>146</v>
      </c>
      <c r="F21" t="s">
        <v>59</v>
      </c>
      <c r="G21">
        <v>40301096</v>
      </c>
      <c r="I21" t="s">
        <v>166</v>
      </c>
      <c r="J21" t="s">
        <v>97</v>
      </c>
      <c r="K21" t="s">
        <v>167</v>
      </c>
      <c r="M21">
        <v>5</v>
      </c>
      <c r="N21">
        <v>2</v>
      </c>
    </row>
    <row r="22" spans="2:14" hidden="1">
      <c r="B22" t="s">
        <v>16</v>
      </c>
      <c r="C22" t="s">
        <v>17</v>
      </c>
      <c r="D22" t="s">
        <v>35</v>
      </c>
      <c r="E22" t="s">
        <v>146</v>
      </c>
      <c r="F22" t="s">
        <v>59</v>
      </c>
      <c r="G22">
        <v>40301096</v>
      </c>
      <c r="I22" t="s">
        <v>85</v>
      </c>
      <c r="J22" t="s">
        <v>37</v>
      </c>
      <c r="K22" t="s">
        <v>86</v>
      </c>
      <c r="M22">
        <v>15</v>
      </c>
      <c r="N22">
        <v>6</v>
      </c>
    </row>
    <row r="23" spans="2:14" hidden="1">
      <c r="B23" t="s">
        <v>16</v>
      </c>
      <c r="C23" t="s">
        <v>17</v>
      </c>
      <c r="D23" t="s">
        <v>35</v>
      </c>
      <c r="E23" t="s">
        <v>146</v>
      </c>
      <c r="F23" t="s">
        <v>59</v>
      </c>
      <c r="G23">
        <v>40301096</v>
      </c>
      <c r="I23" t="s">
        <v>168</v>
      </c>
      <c r="J23" t="s">
        <v>37</v>
      </c>
      <c r="K23" t="s">
        <v>91</v>
      </c>
      <c r="M23">
        <v>10</v>
      </c>
      <c r="N23">
        <v>4</v>
      </c>
    </row>
    <row r="24" spans="2:14" hidden="1">
      <c r="B24" t="s">
        <v>16</v>
      </c>
      <c r="C24" t="s">
        <v>17</v>
      </c>
      <c r="D24" t="s">
        <v>35</v>
      </c>
      <c r="E24" t="s">
        <v>146</v>
      </c>
      <c r="F24" t="s">
        <v>59</v>
      </c>
      <c r="G24">
        <v>40301096</v>
      </c>
      <c r="I24" t="s">
        <v>65</v>
      </c>
      <c r="J24" t="s">
        <v>157</v>
      </c>
      <c r="K24" t="s">
        <v>66</v>
      </c>
      <c r="M24">
        <v>5</v>
      </c>
      <c r="N24">
        <v>2</v>
      </c>
    </row>
    <row r="25" spans="2:14" hidden="1">
      <c r="B25" t="s">
        <v>16</v>
      </c>
      <c r="C25" t="s">
        <v>17</v>
      </c>
      <c r="D25" t="s">
        <v>35</v>
      </c>
      <c r="E25" t="s">
        <v>146</v>
      </c>
      <c r="F25" t="s">
        <v>59</v>
      </c>
      <c r="G25">
        <v>40301096</v>
      </c>
      <c r="I25" t="s">
        <v>169</v>
      </c>
      <c r="J25" t="s">
        <v>37</v>
      </c>
      <c r="K25" t="s">
        <v>74</v>
      </c>
      <c r="M25">
        <v>5</v>
      </c>
      <c r="N25">
        <v>2</v>
      </c>
    </row>
    <row r="26" spans="2:14" hidden="1">
      <c r="B26" t="s">
        <v>16</v>
      </c>
      <c r="C26" t="s">
        <v>17</v>
      </c>
      <c r="D26" t="s">
        <v>35</v>
      </c>
      <c r="E26" t="s">
        <v>146</v>
      </c>
      <c r="F26" t="s">
        <v>59</v>
      </c>
      <c r="G26">
        <v>40301096</v>
      </c>
      <c r="I26" t="s">
        <v>170</v>
      </c>
      <c r="J26" t="s">
        <v>61</v>
      </c>
      <c r="K26" t="s">
        <v>84</v>
      </c>
      <c r="M26">
        <v>5</v>
      </c>
      <c r="N26">
        <v>2</v>
      </c>
    </row>
    <row r="27" spans="2:14" hidden="1">
      <c r="B27" t="s">
        <v>16</v>
      </c>
      <c r="C27" t="s">
        <v>17</v>
      </c>
      <c r="D27" t="s">
        <v>35</v>
      </c>
      <c r="E27" t="s">
        <v>146</v>
      </c>
      <c r="F27" t="s">
        <v>59</v>
      </c>
      <c r="G27">
        <v>40301096</v>
      </c>
      <c r="I27" t="s">
        <v>101</v>
      </c>
      <c r="J27" t="s">
        <v>37</v>
      </c>
      <c r="K27" t="s">
        <v>78</v>
      </c>
      <c r="M27">
        <v>15</v>
      </c>
      <c r="N27">
        <v>5</v>
      </c>
    </row>
    <row r="28" spans="2:14" hidden="1">
      <c r="B28" t="s">
        <v>16</v>
      </c>
      <c r="C28" t="s">
        <v>17</v>
      </c>
      <c r="D28" t="s">
        <v>18</v>
      </c>
      <c r="E28" t="s">
        <v>146</v>
      </c>
      <c r="F28" t="s">
        <v>59</v>
      </c>
      <c r="G28">
        <v>40301096</v>
      </c>
      <c r="I28" t="s">
        <v>171</v>
      </c>
      <c r="J28" t="s">
        <v>80</v>
      </c>
      <c r="K28" t="s">
        <v>172</v>
      </c>
      <c r="M28">
        <v>5</v>
      </c>
      <c r="N28">
        <v>2</v>
      </c>
    </row>
    <row r="29" spans="2:14" hidden="1">
      <c r="B29" t="s">
        <v>16</v>
      </c>
      <c r="C29" t="s">
        <v>17</v>
      </c>
      <c r="D29" t="s">
        <v>18</v>
      </c>
      <c r="E29" t="s">
        <v>146</v>
      </c>
      <c r="F29" t="s">
        <v>59</v>
      </c>
      <c r="G29">
        <v>40301096</v>
      </c>
      <c r="I29" t="s">
        <v>147</v>
      </c>
      <c r="J29" t="s">
        <v>148</v>
      </c>
      <c r="K29" t="s">
        <v>149</v>
      </c>
      <c r="M29">
        <v>3</v>
      </c>
      <c r="N29">
        <v>1</v>
      </c>
    </row>
    <row r="30" spans="2:14" hidden="1">
      <c r="B30" t="s">
        <v>16</v>
      </c>
      <c r="C30" t="s">
        <v>17</v>
      </c>
      <c r="D30" t="s">
        <v>18</v>
      </c>
      <c r="E30" t="s">
        <v>146</v>
      </c>
      <c r="F30" t="s">
        <v>59</v>
      </c>
      <c r="G30">
        <v>40301096</v>
      </c>
      <c r="I30" t="s">
        <v>150</v>
      </c>
      <c r="J30" t="s">
        <v>31</v>
      </c>
      <c r="K30" t="s">
        <v>151</v>
      </c>
      <c r="M30">
        <v>3</v>
      </c>
      <c r="N30">
        <v>1</v>
      </c>
    </row>
    <row r="31" spans="2:14" hidden="1">
      <c r="B31" t="s">
        <v>16</v>
      </c>
      <c r="C31" t="s">
        <v>17</v>
      </c>
      <c r="D31" t="s">
        <v>18</v>
      </c>
      <c r="E31" t="s">
        <v>146</v>
      </c>
      <c r="F31" t="s">
        <v>59</v>
      </c>
      <c r="G31">
        <v>40301096</v>
      </c>
      <c r="I31" t="s">
        <v>152</v>
      </c>
      <c r="J31" t="s">
        <v>148</v>
      </c>
      <c r="K31" t="s">
        <v>153</v>
      </c>
      <c r="M31">
        <v>21</v>
      </c>
      <c r="N31">
        <v>7</v>
      </c>
    </row>
    <row r="32" spans="2:14" hidden="1">
      <c r="B32" t="s">
        <v>16</v>
      </c>
      <c r="C32" t="s">
        <v>17</v>
      </c>
      <c r="D32" t="s">
        <v>18</v>
      </c>
      <c r="E32" t="s">
        <v>146</v>
      </c>
      <c r="F32" t="s">
        <v>59</v>
      </c>
      <c r="G32">
        <v>40301096</v>
      </c>
      <c r="I32" t="s">
        <v>154</v>
      </c>
      <c r="J32" t="s">
        <v>148</v>
      </c>
      <c r="K32" t="s">
        <v>155</v>
      </c>
      <c r="M32">
        <v>3</v>
      </c>
      <c r="N32">
        <v>1</v>
      </c>
    </row>
    <row r="33" spans="2:14" hidden="1">
      <c r="B33" t="s">
        <v>16</v>
      </c>
      <c r="C33" t="s">
        <v>17</v>
      </c>
      <c r="D33" t="s">
        <v>18</v>
      </c>
      <c r="E33" t="s">
        <v>146</v>
      </c>
      <c r="F33" t="s">
        <v>59</v>
      </c>
      <c r="G33">
        <v>40301096</v>
      </c>
      <c r="I33" t="s">
        <v>156</v>
      </c>
      <c r="J33" t="s">
        <v>157</v>
      </c>
      <c r="K33" t="s">
        <v>158</v>
      </c>
      <c r="M33">
        <v>24</v>
      </c>
      <c r="N33">
        <v>8</v>
      </c>
    </row>
    <row r="34" spans="2:14" hidden="1">
      <c r="B34" t="s">
        <v>16</v>
      </c>
      <c r="C34" t="s">
        <v>17</v>
      </c>
      <c r="D34" t="s">
        <v>18</v>
      </c>
      <c r="E34" t="s">
        <v>146</v>
      </c>
      <c r="F34" t="s">
        <v>59</v>
      </c>
      <c r="G34">
        <v>40301096</v>
      </c>
      <c r="I34" t="s">
        <v>159</v>
      </c>
      <c r="J34" t="s">
        <v>37</v>
      </c>
      <c r="K34" t="s">
        <v>160</v>
      </c>
      <c r="M34">
        <v>24</v>
      </c>
      <c r="N34">
        <v>8</v>
      </c>
    </row>
    <row r="35" spans="2:14" hidden="1">
      <c r="B35" t="s">
        <v>16</v>
      </c>
      <c r="C35" t="s">
        <v>17</v>
      </c>
      <c r="D35" t="s">
        <v>18</v>
      </c>
      <c r="E35" t="s">
        <v>146</v>
      </c>
      <c r="F35" t="s">
        <v>59</v>
      </c>
      <c r="G35">
        <v>40301096</v>
      </c>
      <c r="H35">
        <v>70964</v>
      </c>
      <c r="I35" t="s">
        <v>140</v>
      </c>
      <c r="J35" t="s">
        <v>134</v>
      </c>
      <c r="K35" t="s">
        <v>141</v>
      </c>
      <c r="M35">
        <v>3</v>
      </c>
      <c r="N35">
        <v>1</v>
      </c>
    </row>
    <row r="36" spans="2:14" hidden="1">
      <c r="B36" t="s">
        <v>16</v>
      </c>
      <c r="C36" t="s">
        <v>174</v>
      </c>
      <c r="D36" t="s">
        <v>35</v>
      </c>
      <c r="E36" t="s">
        <v>175</v>
      </c>
      <c r="F36" t="s">
        <v>59</v>
      </c>
      <c r="G36">
        <v>40208260</v>
      </c>
      <c r="H36">
        <v>73009</v>
      </c>
      <c r="I36" t="s">
        <v>176</v>
      </c>
      <c r="J36" t="s">
        <v>177</v>
      </c>
      <c r="K36" t="s">
        <v>178</v>
      </c>
      <c r="M36">
        <v>5</v>
      </c>
      <c r="N36">
        <v>2</v>
      </c>
    </row>
    <row r="37" spans="2:14" hidden="1">
      <c r="B37" t="s">
        <v>16</v>
      </c>
      <c r="C37" t="s">
        <v>174</v>
      </c>
      <c r="D37" t="s">
        <v>35</v>
      </c>
      <c r="E37" t="s">
        <v>175</v>
      </c>
      <c r="F37" t="s">
        <v>59</v>
      </c>
      <c r="G37">
        <v>40208260</v>
      </c>
      <c r="H37">
        <v>72877</v>
      </c>
      <c r="I37" t="s">
        <v>179</v>
      </c>
      <c r="J37" t="s">
        <v>177</v>
      </c>
      <c r="K37" t="s">
        <v>180</v>
      </c>
      <c r="M37">
        <v>5</v>
      </c>
      <c r="N37">
        <v>2</v>
      </c>
    </row>
    <row r="38" spans="2:14" hidden="1">
      <c r="B38" t="s">
        <v>16</v>
      </c>
      <c r="C38" t="s">
        <v>174</v>
      </c>
      <c r="D38" t="s">
        <v>35</v>
      </c>
      <c r="E38" t="s">
        <v>175</v>
      </c>
      <c r="F38" t="s">
        <v>59</v>
      </c>
      <c r="G38">
        <v>40208260</v>
      </c>
      <c r="H38">
        <v>72862</v>
      </c>
      <c r="I38" t="s">
        <v>181</v>
      </c>
      <c r="J38" t="s">
        <v>177</v>
      </c>
      <c r="K38" t="s">
        <v>182</v>
      </c>
      <c r="M38">
        <v>5</v>
      </c>
      <c r="N38">
        <v>2</v>
      </c>
    </row>
    <row r="39" spans="2:14" hidden="1">
      <c r="B39" t="s">
        <v>16</v>
      </c>
      <c r="C39" t="s">
        <v>174</v>
      </c>
      <c r="D39" t="s">
        <v>35</v>
      </c>
      <c r="E39" t="s">
        <v>175</v>
      </c>
      <c r="F39" t="s">
        <v>59</v>
      </c>
      <c r="G39">
        <v>40208260</v>
      </c>
      <c r="H39">
        <v>72861</v>
      </c>
      <c r="I39" t="s">
        <v>183</v>
      </c>
      <c r="J39" t="s">
        <v>177</v>
      </c>
      <c r="K39" t="s">
        <v>184</v>
      </c>
      <c r="M39">
        <v>15</v>
      </c>
      <c r="N39">
        <v>6</v>
      </c>
    </row>
    <row r="40" spans="2:14" hidden="1">
      <c r="B40" t="s">
        <v>16</v>
      </c>
      <c r="C40" t="s">
        <v>174</v>
      </c>
      <c r="D40" t="s">
        <v>35</v>
      </c>
      <c r="E40" t="s">
        <v>175</v>
      </c>
      <c r="F40" t="s">
        <v>59</v>
      </c>
      <c r="G40">
        <v>40208260</v>
      </c>
      <c r="I40" t="s">
        <v>185</v>
      </c>
      <c r="J40" t="s">
        <v>177</v>
      </c>
      <c r="K40" t="s">
        <v>186</v>
      </c>
      <c r="M40">
        <v>5</v>
      </c>
      <c r="N40">
        <v>2</v>
      </c>
    </row>
    <row r="41" spans="2:14" hidden="1">
      <c r="B41" t="s">
        <v>16</v>
      </c>
      <c r="C41" t="s">
        <v>174</v>
      </c>
      <c r="D41" t="s">
        <v>35</v>
      </c>
      <c r="E41" t="s">
        <v>175</v>
      </c>
      <c r="F41" t="s">
        <v>59</v>
      </c>
      <c r="G41">
        <v>40208260</v>
      </c>
      <c r="H41">
        <v>72859</v>
      </c>
      <c r="I41" t="s">
        <v>187</v>
      </c>
      <c r="J41" t="s">
        <v>177</v>
      </c>
      <c r="K41" t="s">
        <v>188</v>
      </c>
      <c r="M41">
        <v>35</v>
      </c>
      <c r="N41">
        <v>14</v>
      </c>
    </row>
    <row r="42" spans="2:14" hidden="1">
      <c r="B42" t="s">
        <v>16</v>
      </c>
      <c r="C42" t="s">
        <v>174</v>
      </c>
      <c r="D42" t="s">
        <v>35</v>
      </c>
      <c r="E42" t="s">
        <v>175</v>
      </c>
      <c r="F42" t="s">
        <v>59</v>
      </c>
      <c r="G42">
        <v>40208260</v>
      </c>
      <c r="H42">
        <v>72860</v>
      </c>
      <c r="I42" t="s">
        <v>189</v>
      </c>
      <c r="J42" t="s">
        <v>177</v>
      </c>
      <c r="K42" t="s">
        <v>190</v>
      </c>
      <c r="M42">
        <v>50</v>
      </c>
      <c r="N42">
        <v>20</v>
      </c>
    </row>
    <row r="43" spans="2:14" hidden="1">
      <c r="B43" t="s">
        <v>16</v>
      </c>
      <c r="C43" t="s">
        <v>174</v>
      </c>
      <c r="D43" t="s">
        <v>35</v>
      </c>
      <c r="E43" t="s">
        <v>175</v>
      </c>
      <c r="F43" t="s">
        <v>59</v>
      </c>
      <c r="G43">
        <v>40208260</v>
      </c>
      <c r="H43">
        <v>73012</v>
      </c>
      <c r="I43" t="s">
        <v>191</v>
      </c>
      <c r="J43" t="s">
        <v>177</v>
      </c>
      <c r="K43" t="s">
        <v>192</v>
      </c>
      <c r="M43">
        <v>25</v>
      </c>
      <c r="N43">
        <v>10</v>
      </c>
    </row>
    <row r="44" spans="2:14" hidden="1">
      <c r="B44" t="s">
        <v>16</v>
      </c>
      <c r="C44" t="s">
        <v>174</v>
      </c>
      <c r="D44" t="s">
        <v>35</v>
      </c>
      <c r="E44" t="s">
        <v>175</v>
      </c>
      <c r="F44" t="s">
        <v>59</v>
      </c>
      <c r="G44">
        <v>40208260</v>
      </c>
      <c r="H44">
        <v>73013</v>
      </c>
      <c r="I44" t="s">
        <v>193</v>
      </c>
      <c r="J44" t="s">
        <v>177</v>
      </c>
      <c r="K44" t="s">
        <v>194</v>
      </c>
      <c r="M44">
        <v>5</v>
      </c>
      <c r="N44">
        <v>2</v>
      </c>
    </row>
    <row r="45" spans="2:14" hidden="1">
      <c r="B45" t="s">
        <v>16</v>
      </c>
      <c r="C45" t="s">
        <v>174</v>
      </c>
      <c r="D45" t="s">
        <v>35</v>
      </c>
      <c r="E45" t="s">
        <v>175</v>
      </c>
      <c r="F45" t="s">
        <v>59</v>
      </c>
      <c r="G45">
        <v>40208260</v>
      </c>
      <c r="H45">
        <v>72999</v>
      </c>
      <c r="I45" t="s">
        <v>195</v>
      </c>
      <c r="J45" t="s">
        <v>177</v>
      </c>
      <c r="K45" t="s">
        <v>196</v>
      </c>
      <c r="M45">
        <v>5</v>
      </c>
      <c r="N45">
        <v>2</v>
      </c>
    </row>
    <row r="46" spans="2:14" hidden="1">
      <c r="B46" t="s">
        <v>16</v>
      </c>
      <c r="C46" t="s">
        <v>174</v>
      </c>
      <c r="D46" t="s">
        <v>35</v>
      </c>
      <c r="E46" t="s">
        <v>175</v>
      </c>
      <c r="F46" t="s">
        <v>59</v>
      </c>
      <c r="G46">
        <v>40208260</v>
      </c>
      <c r="H46">
        <v>73011</v>
      </c>
      <c r="I46" t="s">
        <v>197</v>
      </c>
      <c r="J46" t="s">
        <v>177</v>
      </c>
      <c r="K46" t="s">
        <v>198</v>
      </c>
      <c r="M46">
        <v>45</v>
      </c>
      <c r="N46">
        <v>18</v>
      </c>
    </row>
    <row r="47" spans="2:14" hidden="1">
      <c r="B47" t="s">
        <v>16</v>
      </c>
      <c r="C47" t="s">
        <v>174</v>
      </c>
      <c r="D47" t="s">
        <v>35</v>
      </c>
      <c r="E47" t="s">
        <v>175</v>
      </c>
      <c r="F47" t="s">
        <v>59</v>
      </c>
      <c r="G47">
        <v>40208260</v>
      </c>
      <c r="H47">
        <v>72612</v>
      </c>
      <c r="I47" t="s">
        <v>199</v>
      </c>
      <c r="J47" t="s">
        <v>97</v>
      </c>
      <c r="K47" t="s">
        <v>200</v>
      </c>
      <c r="M47">
        <v>10</v>
      </c>
      <c r="N47">
        <v>4</v>
      </c>
    </row>
    <row r="48" spans="2:14" hidden="1">
      <c r="B48" t="s">
        <v>16</v>
      </c>
      <c r="C48" t="s">
        <v>174</v>
      </c>
      <c r="D48" t="s">
        <v>35</v>
      </c>
      <c r="E48" t="s">
        <v>175</v>
      </c>
      <c r="F48" t="s">
        <v>59</v>
      </c>
      <c r="G48">
        <v>40208260</v>
      </c>
      <c r="I48" t="s">
        <v>201</v>
      </c>
      <c r="J48" t="s">
        <v>177</v>
      </c>
      <c r="K48" t="s">
        <v>202</v>
      </c>
      <c r="M48">
        <v>5</v>
      </c>
      <c r="N48">
        <v>2</v>
      </c>
    </row>
    <row r="49" spans="2:14" hidden="1">
      <c r="B49" t="s">
        <v>16</v>
      </c>
      <c r="C49" t="s">
        <v>174</v>
      </c>
      <c r="D49" t="s">
        <v>203</v>
      </c>
      <c r="E49" t="s">
        <v>175</v>
      </c>
      <c r="F49" t="s">
        <v>59</v>
      </c>
      <c r="G49">
        <v>40208260</v>
      </c>
      <c r="H49">
        <v>76805</v>
      </c>
      <c r="I49" s="4" t="s">
        <v>204</v>
      </c>
      <c r="J49" s="4" t="s">
        <v>205</v>
      </c>
      <c r="K49" t="s">
        <v>206</v>
      </c>
      <c r="M49">
        <v>5</v>
      </c>
      <c r="N49">
        <v>2</v>
      </c>
    </row>
    <row r="50" spans="2:14" hidden="1">
      <c r="B50" t="s">
        <v>16</v>
      </c>
      <c r="C50" t="s">
        <v>174</v>
      </c>
      <c r="D50" t="s">
        <v>203</v>
      </c>
      <c r="E50" t="s">
        <v>175</v>
      </c>
      <c r="F50" t="s">
        <v>59</v>
      </c>
      <c r="G50">
        <v>40208260</v>
      </c>
      <c r="H50">
        <v>77145</v>
      </c>
      <c r="I50" t="s">
        <v>207</v>
      </c>
      <c r="J50" t="s">
        <v>177</v>
      </c>
      <c r="K50" t="s">
        <v>208</v>
      </c>
      <c r="M50">
        <v>5</v>
      </c>
      <c r="N50">
        <v>2</v>
      </c>
    </row>
    <row r="51" spans="2:14" hidden="1">
      <c r="B51" t="s">
        <v>16</v>
      </c>
      <c r="C51" t="s">
        <v>174</v>
      </c>
      <c r="D51" t="s">
        <v>203</v>
      </c>
      <c r="E51" t="s">
        <v>175</v>
      </c>
      <c r="F51" t="s">
        <v>59</v>
      </c>
      <c r="G51">
        <v>40208260</v>
      </c>
      <c r="H51">
        <v>72862</v>
      </c>
      <c r="I51" s="4" t="s">
        <v>209</v>
      </c>
      <c r="J51" s="4" t="s">
        <v>177</v>
      </c>
      <c r="K51" t="s">
        <v>182</v>
      </c>
      <c r="M51">
        <v>5</v>
      </c>
      <c r="N51">
        <v>2</v>
      </c>
    </row>
    <row r="52" spans="2:14" hidden="1">
      <c r="B52" t="s">
        <v>16</v>
      </c>
      <c r="C52" t="s">
        <v>174</v>
      </c>
      <c r="D52" t="s">
        <v>203</v>
      </c>
      <c r="E52" t="s">
        <v>175</v>
      </c>
      <c r="F52" t="s">
        <v>59</v>
      </c>
      <c r="G52">
        <v>40208260</v>
      </c>
      <c r="H52">
        <v>73010</v>
      </c>
      <c r="I52" t="s">
        <v>210</v>
      </c>
      <c r="J52" t="s">
        <v>88</v>
      </c>
      <c r="K52" t="s">
        <v>211</v>
      </c>
      <c r="M52">
        <v>5</v>
      </c>
      <c r="N52">
        <v>2</v>
      </c>
    </row>
    <row r="53" spans="2:14" hidden="1">
      <c r="B53" t="s">
        <v>16</v>
      </c>
      <c r="C53" t="s">
        <v>174</v>
      </c>
      <c r="D53" t="s">
        <v>203</v>
      </c>
      <c r="E53" t="s">
        <v>175</v>
      </c>
      <c r="F53" t="s">
        <v>59</v>
      </c>
      <c r="G53">
        <v>40208260</v>
      </c>
      <c r="H53">
        <v>72999</v>
      </c>
      <c r="I53" t="s">
        <v>212</v>
      </c>
      <c r="J53" t="s">
        <v>88</v>
      </c>
      <c r="K53" t="s">
        <v>196</v>
      </c>
      <c r="M53">
        <v>5</v>
      </c>
      <c r="N53">
        <v>2</v>
      </c>
    </row>
    <row r="54" spans="2:14" hidden="1">
      <c r="B54" t="s">
        <v>16</v>
      </c>
      <c r="C54" t="s">
        <v>17</v>
      </c>
      <c r="D54" t="s">
        <v>35</v>
      </c>
      <c r="E54" t="s">
        <v>58</v>
      </c>
      <c r="F54" t="s">
        <v>59</v>
      </c>
      <c r="G54">
        <v>40208112</v>
      </c>
      <c r="H54">
        <v>72564</v>
      </c>
      <c r="I54" t="s">
        <v>60</v>
      </c>
      <c r="J54" t="s">
        <v>61</v>
      </c>
      <c r="K54" t="s">
        <v>62</v>
      </c>
      <c r="M54">
        <v>6</v>
      </c>
      <c r="N54">
        <v>2</v>
      </c>
    </row>
    <row r="55" spans="2:14" hidden="1">
      <c r="B55" t="s">
        <v>16</v>
      </c>
      <c r="C55" t="s">
        <v>17</v>
      </c>
      <c r="D55" t="s">
        <v>35</v>
      </c>
      <c r="E55" t="s">
        <v>58</v>
      </c>
      <c r="F55" t="s">
        <v>59</v>
      </c>
      <c r="G55">
        <v>40208112</v>
      </c>
      <c r="H55">
        <v>72691</v>
      </c>
      <c r="I55" t="s">
        <v>63</v>
      </c>
      <c r="J55" t="s">
        <v>61</v>
      </c>
      <c r="K55" t="s">
        <v>64</v>
      </c>
      <c r="M55">
        <v>6</v>
      </c>
      <c r="N55">
        <v>2</v>
      </c>
    </row>
    <row r="56" spans="2:14" hidden="1">
      <c r="B56" t="s">
        <v>16</v>
      </c>
      <c r="C56" t="s">
        <v>17</v>
      </c>
      <c r="D56" t="s">
        <v>35</v>
      </c>
      <c r="E56" t="s">
        <v>58</v>
      </c>
      <c r="F56" t="s">
        <v>59</v>
      </c>
      <c r="G56">
        <v>40208112</v>
      </c>
      <c r="H56">
        <v>72513</v>
      </c>
      <c r="I56" t="s">
        <v>65</v>
      </c>
      <c r="J56" t="s">
        <v>37</v>
      </c>
      <c r="K56" t="s">
        <v>66</v>
      </c>
      <c r="M56">
        <v>6</v>
      </c>
      <c r="N56">
        <v>2</v>
      </c>
    </row>
    <row r="57" spans="2:14" hidden="1">
      <c r="B57" t="s">
        <v>16</v>
      </c>
      <c r="C57" t="s">
        <v>17</v>
      </c>
      <c r="D57" t="s">
        <v>35</v>
      </c>
      <c r="E57" t="s">
        <v>58</v>
      </c>
      <c r="F57" t="s">
        <v>59</v>
      </c>
      <c r="G57">
        <v>40208112</v>
      </c>
      <c r="H57">
        <v>72875</v>
      </c>
      <c r="I57" t="s">
        <v>67</v>
      </c>
      <c r="J57" t="s">
        <v>61</v>
      </c>
      <c r="K57" t="s">
        <v>68</v>
      </c>
      <c r="M57">
        <v>6</v>
      </c>
      <c r="N57">
        <v>2</v>
      </c>
    </row>
    <row r="58" spans="2:14" hidden="1">
      <c r="B58" t="s">
        <v>16</v>
      </c>
      <c r="C58" t="s">
        <v>17</v>
      </c>
      <c r="D58" t="s">
        <v>35</v>
      </c>
      <c r="E58" t="s">
        <v>58</v>
      </c>
      <c r="F58" t="s">
        <v>59</v>
      </c>
      <c r="G58">
        <v>40208112</v>
      </c>
      <c r="H58">
        <v>72897</v>
      </c>
      <c r="I58" t="s">
        <v>69</v>
      </c>
      <c r="J58" t="s">
        <v>37</v>
      </c>
      <c r="K58" t="s">
        <v>70</v>
      </c>
      <c r="M58">
        <v>6</v>
      </c>
      <c r="N58">
        <v>2</v>
      </c>
    </row>
    <row r="59" spans="2:14" hidden="1">
      <c r="B59" t="s">
        <v>16</v>
      </c>
      <c r="C59" t="s">
        <v>17</v>
      </c>
      <c r="D59" t="s">
        <v>35</v>
      </c>
      <c r="E59" t="s">
        <v>58</v>
      </c>
      <c r="F59" t="s">
        <v>59</v>
      </c>
      <c r="G59">
        <v>40208112</v>
      </c>
      <c r="H59">
        <v>72898</v>
      </c>
      <c r="I59" t="s">
        <v>71</v>
      </c>
      <c r="J59" t="s">
        <v>37</v>
      </c>
      <c r="K59" t="s">
        <v>72</v>
      </c>
      <c r="M59">
        <v>6</v>
      </c>
      <c r="N59">
        <v>2</v>
      </c>
    </row>
    <row r="60" spans="2:14" hidden="1">
      <c r="B60" t="s">
        <v>16</v>
      </c>
      <c r="C60" t="s">
        <v>17</v>
      </c>
      <c r="D60" t="s">
        <v>35</v>
      </c>
      <c r="E60" t="s">
        <v>58</v>
      </c>
      <c r="F60" t="s">
        <v>59</v>
      </c>
      <c r="G60">
        <v>40208112</v>
      </c>
      <c r="H60">
        <v>72894</v>
      </c>
      <c r="I60" t="s">
        <v>73</v>
      </c>
      <c r="J60" t="s">
        <v>37</v>
      </c>
      <c r="K60" t="s">
        <v>74</v>
      </c>
      <c r="M60">
        <v>6</v>
      </c>
      <c r="N60">
        <v>2</v>
      </c>
    </row>
    <row r="61" spans="2:14" hidden="1">
      <c r="B61" t="s">
        <v>16</v>
      </c>
      <c r="C61" t="s">
        <v>17</v>
      </c>
      <c r="D61" t="s">
        <v>35</v>
      </c>
      <c r="E61" t="s">
        <v>58</v>
      </c>
      <c r="F61" t="s">
        <v>59</v>
      </c>
      <c r="G61">
        <v>40208112</v>
      </c>
      <c r="H61">
        <v>72929</v>
      </c>
      <c r="I61" t="s">
        <v>75</v>
      </c>
      <c r="J61" t="s">
        <v>37</v>
      </c>
      <c r="K61" t="s">
        <v>76</v>
      </c>
      <c r="M61">
        <v>6</v>
      </c>
      <c r="N61">
        <v>2</v>
      </c>
    </row>
    <row r="62" spans="2:14" hidden="1">
      <c r="B62" t="s">
        <v>16</v>
      </c>
      <c r="C62" t="s">
        <v>17</v>
      </c>
      <c r="D62" t="s">
        <v>35</v>
      </c>
      <c r="E62" t="s">
        <v>58</v>
      </c>
      <c r="F62" t="s">
        <v>59</v>
      </c>
      <c r="G62">
        <v>40208112</v>
      </c>
      <c r="H62">
        <v>72683</v>
      </c>
      <c r="I62" t="s">
        <v>77</v>
      </c>
      <c r="J62" t="s">
        <v>37</v>
      </c>
      <c r="K62" t="s">
        <v>78</v>
      </c>
      <c r="M62">
        <v>6</v>
      </c>
      <c r="N62">
        <v>2</v>
      </c>
    </row>
    <row r="63" spans="2:14" hidden="1">
      <c r="B63" t="s">
        <v>16</v>
      </c>
      <c r="C63" t="s">
        <v>17</v>
      </c>
      <c r="D63" t="s">
        <v>35</v>
      </c>
      <c r="E63" t="s">
        <v>58</v>
      </c>
      <c r="F63" t="s">
        <v>59</v>
      </c>
      <c r="G63">
        <v>40208112</v>
      </c>
      <c r="H63">
        <v>72912</v>
      </c>
      <c r="I63" t="s">
        <v>79</v>
      </c>
      <c r="J63" t="s">
        <v>80</v>
      </c>
      <c r="K63" t="s">
        <v>81</v>
      </c>
      <c r="M63">
        <v>6</v>
      </c>
      <c r="N63">
        <v>2</v>
      </c>
    </row>
    <row r="64" spans="2:14" hidden="1">
      <c r="B64" t="s">
        <v>16</v>
      </c>
      <c r="C64" t="s">
        <v>17</v>
      </c>
      <c r="D64" t="s">
        <v>35</v>
      </c>
      <c r="E64" t="s">
        <v>82</v>
      </c>
      <c r="F64" t="s">
        <v>59</v>
      </c>
      <c r="G64">
        <v>40300898</v>
      </c>
      <c r="H64">
        <v>72594</v>
      </c>
      <c r="I64" t="s">
        <v>83</v>
      </c>
      <c r="J64" t="s">
        <v>61</v>
      </c>
      <c r="K64" t="s">
        <v>84</v>
      </c>
      <c r="M64">
        <v>18</v>
      </c>
      <c r="N64">
        <v>6</v>
      </c>
    </row>
    <row r="65" spans="2:14" hidden="1">
      <c r="B65" t="s">
        <v>16</v>
      </c>
      <c r="C65" t="s">
        <v>17</v>
      </c>
      <c r="D65" t="s">
        <v>35</v>
      </c>
      <c r="E65" t="s">
        <v>82</v>
      </c>
      <c r="F65" t="s">
        <v>59</v>
      </c>
      <c r="G65">
        <v>40300898</v>
      </c>
      <c r="H65">
        <v>72916</v>
      </c>
      <c r="I65" t="s">
        <v>85</v>
      </c>
      <c r="J65" t="s">
        <v>37</v>
      </c>
      <c r="K65" t="s">
        <v>86</v>
      </c>
      <c r="M65">
        <v>18</v>
      </c>
      <c r="N65">
        <v>6</v>
      </c>
    </row>
    <row r="66" spans="2:14" hidden="1">
      <c r="B66" t="s">
        <v>16</v>
      </c>
      <c r="C66" t="s">
        <v>17</v>
      </c>
      <c r="D66" t="s">
        <v>35</v>
      </c>
      <c r="E66" t="s">
        <v>82</v>
      </c>
      <c r="F66" t="s">
        <v>59</v>
      </c>
      <c r="G66">
        <v>40300898</v>
      </c>
      <c r="H66">
        <v>72517</v>
      </c>
      <c r="I66" t="s">
        <v>87</v>
      </c>
      <c r="J66" t="s">
        <v>88</v>
      </c>
      <c r="K66" t="s">
        <v>89</v>
      </c>
      <c r="M66">
        <v>6</v>
      </c>
      <c r="N66">
        <v>2</v>
      </c>
    </row>
    <row r="67" spans="2:14" hidden="1">
      <c r="B67" t="s">
        <v>16</v>
      </c>
      <c r="C67" t="s">
        <v>17</v>
      </c>
      <c r="D67" t="s">
        <v>35</v>
      </c>
      <c r="E67" t="s">
        <v>82</v>
      </c>
      <c r="F67" t="s">
        <v>59</v>
      </c>
      <c r="G67">
        <v>40300898</v>
      </c>
      <c r="H67">
        <v>72886</v>
      </c>
      <c r="I67" t="s">
        <v>90</v>
      </c>
      <c r="J67" t="s">
        <v>37</v>
      </c>
      <c r="K67" t="s">
        <v>91</v>
      </c>
      <c r="M67">
        <v>12</v>
      </c>
      <c r="N67">
        <v>4</v>
      </c>
    </row>
    <row r="68" spans="2:14" hidden="1">
      <c r="B68" t="s">
        <v>16</v>
      </c>
      <c r="C68" t="s">
        <v>17</v>
      </c>
      <c r="D68" t="s">
        <v>35</v>
      </c>
      <c r="E68" t="s">
        <v>82</v>
      </c>
      <c r="F68" t="s">
        <v>59</v>
      </c>
      <c r="G68">
        <v>40300898</v>
      </c>
      <c r="H68">
        <v>72963</v>
      </c>
      <c r="I68" t="s">
        <v>92</v>
      </c>
      <c r="J68" t="s">
        <v>61</v>
      </c>
      <c r="K68" t="s">
        <v>93</v>
      </c>
      <c r="M68">
        <v>12</v>
      </c>
      <c r="N68">
        <v>4</v>
      </c>
    </row>
    <row r="69" spans="2:14" hidden="1">
      <c r="B69" t="s">
        <v>16</v>
      </c>
      <c r="C69" t="s">
        <v>17</v>
      </c>
      <c r="D69" t="s">
        <v>35</v>
      </c>
      <c r="E69" t="s">
        <v>82</v>
      </c>
      <c r="F69" t="s">
        <v>59</v>
      </c>
      <c r="G69">
        <v>40300898</v>
      </c>
      <c r="H69">
        <v>73033</v>
      </c>
      <c r="I69" t="s">
        <v>94</v>
      </c>
      <c r="J69" t="s">
        <v>88</v>
      </c>
      <c r="K69" t="s">
        <v>95</v>
      </c>
      <c r="M69">
        <v>24</v>
      </c>
      <c r="N69">
        <v>8</v>
      </c>
    </row>
    <row r="70" spans="2:14" hidden="1">
      <c r="B70" t="s">
        <v>16</v>
      </c>
      <c r="C70" t="s">
        <v>17</v>
      </c>
      <c r="D70" t="s">
        <v>35</v>
      </c>
      <c r="E70" t="s">
        <v>82</v>
      </c>
      <c r="F70" t="s">
        <v>59</v>
      </c>
      <c r="G70">
        <v>40300898</v>
      </c>
      <c r="H70">
        <v>72592</v>
      </c>
      <c r="I70" t="s">
        <v>96</v>
      </c>
      <c r="J70" t="s">
        <v>97</v>
      </c>
      <c r="K70" t="s">
        <v>98</v>
      </c>
      <c r="M70">
        <v>6</v>
      </c>
      <c r="N70">
        <v>2</v>
      </c>
    </row>
    <row r="71" spans="2:14" hidden="1">
      <c r="B71" t="s">
        <v>16</v>
      </c>
      <c r="C71" t="s">
        <v>17</v>
      </c>
      <c r="D71" t="s">
        <v>35</v>
      </c>
      <c r="E71" t="s">
        <v>82</v>
      </c>
      <c r="F71" t="s">
        <v>59</v>
      </c>
      <c r="G71">
        <v>40300898</v>
      </c>
      <c r="H71">
        <v>73828</v>
      </c>
      <c r="I71" t="s">
        <v>101</v>
      </c>
      <c r="J71" t="s">
        <v>37</v>
      </c>
      <c r="K71" t="s">
        <v>78</v>
      </c>
      <c r="M71">
        <v>24</v>
      </c>
      <c r="N71">
        <v>8</v>
      </c>
    </row>
    <row r="72" spans="2:14" hidden="1">
      <c r="B72" t="s">
        <v>16</v>
      </c>
      <c r="C72" t="s">
        <v>17</v>
      </c>
      <c r="D72" t="s">
        <v>35</v>
      </c>
      <c r="E72" t="s">
        <v>82</v>
      </c>
      <c r="F72" t="s">
        <v>59</v>
      </c>
      <c r="G72">
        <v>40300898</v>
      </c>
      <c r="H72">
        <v>75017</v>
      </c>
      <c r="I72" t="s">
        <v>102</v>
      </c>
      <c r="J72" t="s">
        <v>103</v>
      </c>
      <c r="K72" s="1">
        <v>502</v>
      </c>
      <c r="M72">
        <v>6</v>
      </c>
      <c r="N72">
        <v>2</v>
      </c>
    </row>
    <row r="73" spans="2:14" hidden="1">
      <c r="B73" t="s">
        <v>16</v>
      </c>
      <c r="C73" t="s">
        <v>17</v>
      </c>
      <c r="D73" t="s">
        <v>18</v>
      </c>
      <c r="E73" t="s">
        <v>82</v>
      </c>
      <c r="F73" t="s">
        <v>59</v>
      </c>
      <c r="G73">
        <v>40300898</v>
      </c>
      <c r="H73">
        <v>70967</v>
      </c>
      <c r="I73" t="s">
        <v>104</v>
      </c>
      <c r="J73" t="s">
        <v>105</v>
      </c>
      <c r="K73" t="s">
        <v>106</v>
      </c>
      <c r="M73">
        <v>12</v>
      </c>
      <c r="N73">
        <v>4</v>
      </c>
    </row>
    <row r="74" spans="2:14" hidden="1">
      <c r="B74" t="s">
        <v>16</v>
      </c>
      <c r="C74" t="s">
        <v>17</v>
      </c>
      <c r="D74" t="s">
        <v>18</v>
      </c>
      <c r="E74" t="s">
        <v>82</v>
      </c>
      <c r="F74" t="s">
        <v>59</v>
      </c>
      <c r="G74">
        <v>40300898</v>
      </c>
      <c r="H74">
        <v>78617</v>
      </c>
      <c r="I74" t="s">
        <v>111</v>
      </c>
      <c r="J74" t="s">
        <v>31</v>
      </c>
      <c r="K74" t="s">
        <v>112</v>
      </c>
      <c r="M74">
        <v>12</v>
      </c>
      <c r="N74">
        <v>4</v>
      </c>
    </row>
    <row r="75" spans="2:14" hidden="1">
      <c r="B75" t="s">
        <v>16</v>
      </c>
      <c r="C75" t="s">
        <v>17</v>
      </c>
      <c r="D75" t="s">
        <v>18</v>
      </c>
      <c r="E75" t="s">
        <v>82</v>
      </c>
      <c r="F75" t="s">
        <v>59</v>
      </c>
      <c r="G75">
        <v>40300898</v>
      </c>
      <c r="H75">
        <v>70269</v>
      </c>
      <c r="I75" t="s">
        <v>117</v>
      </c>
      <c r="J75" t="s">
        <v>105</v>
      </c>
      <c r="K75" t="s">
        <v>118</v>
      </c>
      <c r="M75">
        <v>96</v>
      </c>
      <c r="N75">
        <v>32</v>
      </c>
    </row>
    <row r="76" spans="2:14" hidden="1">
      <c r="B76" t="s">
        <v>16</v>
      </c>
      <c r="C76" t="s">
        <v>17</v>
      </c>
      <c r="D76" t="s">
        <v>18</v>
      </c>
      <c r="E76" t="s">
        <v>82</v>
      </c>
      <c r="F76" t="s">
        <v>59</v>
      </c>
      <c r="G76">
        <v>40300898</v>
      </c>
      <c r="H76">
        <v>70771</v>
      </c>
      <c r="I76" t="s">
        <v>121</v>
      </c>
      <c r="J76" t="s">
        <v>37</v>
      </c>
      <c r="K76" t="s">
        <v>122</v>
      </c>
      <c r="M76">
        <v>96</v>
      </c>
      <c r="N76">
        <v>32</v>
      </c>
    </row>
    <row r="77" spans="2:14" hidden="1">
      <c r="B77" t="s">
        <v>16</v>
      </c>
      <c r="C77" t="s">
        <v>17</v>
      </c>
      <c r="D77" t="s">
        <v>18</v>
      </c>
      <c r="E77" t="s">
        <v>82</v>
      </c>
      <c r="F77" t="s">
        <v>59</v>
      </c>
      <c r="G77">
        <v>40300898</v>
      </c>
      <c r="H77">
        <v>70585</v>
      </c>
      <c r="I77" t="s">
        <v>123</v>
      </c>
      <c r="J77" t="s">
        <v>37</v>
      </c>
      <c r="K77" t="s">
        <v>124</v>
      </c>
      <c r="M77">
        <v>96</v>
      </c>
      <c r="N77">
        <v>32</v>
      </c>
    </row>
    <row r="78" spans="2:14" hidden="1">
      <c r="B78" t="s">
        <v>16</v>
      </c>
      <c r="C78" t="s">
        <v>17</v>
      </c>
      <c r="D78" t="s">
        <v>18</v>
      </c>
      <c r="E78" t="s">
        <v>82</v>
      </c>
      <c r="F78" t="s">
        <v>59</v>
      </c>
      <c r="G78">
        <v>40300898</v>
      </c>
      <c r="H78">
        <v>78881</v>
      </c>
      <c r="I78" t="s">
        <v>125</v>
      </c>
      <c r="J78" t="s">
        <v>37</v>
      </c>
      <c r="K78" t="s">
        <v>126</v>
      </c>
      <c r="M78">
        <v>96</v>
      </c>
      <c r="N78">
        <v>32</v>
      </c>
    </row>
    <row r="79" spans="2:14" hidden="1">
      <c r="B79" t="s">
        <v>16</v>
      </c>
      <c r="C79" t="s">
        <v>17</v>
      </c>
      <c r="D79" t="s">
        <v>18</v>
      </c>
      <c r="E79" t="s">
        <v>82</v>
      </c>
      <c r="F79" t="s">
        <v>59</v>
      </c>
      <c r="G79">
        <v>40300898</v>
      </c>
      <c r="H79">
        <v>70761</v>
      </c>
      <c r="I79" t="s">
        <v>127</v>
      </c>
      <c r="J79" t="s">
        <v>37</v>
      </c>
      <c r="K79" t="s">
        <v>128</v>
      </c>
      <c r="M79">
        <v>96</v>
      </c>
      <c r="N79">
        <v>32</v>
      </c>
    </row>
    <row r="80" spans="2:14" hidden="1">
      <c r="B80" t="s">
        <v>16</v>
      </c>
      <c r="C80" t="s">
        <v>17</v>
      </c>
      <c r="D80" t="s">
        <v>18</v>
      </c>
      <c r="E80" t="s">
        <v>82</v>
      </c>
      <c r="F80" t="s">
        <v>59</v>
      </c>
      <c r="G80">
        <v>40300898</v>
      </c>
      <c r="H80">
        <v>70761</v>
      </c>
      <c r="I80" t="s">
        <v>129</v>
      </c>
      <c r="J80" t="s">
        <v>105</v>
      </c>
      <c r="K80" t="s">
        <v>130</v>
      </c>
      <c r="M80">
        <v>12</v>
      </c>
      <c r="N80">
        <v>4</v>
      </c>
    </row>
    <row r="81" spans="2:14" hidden="1"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40500040</v>
      </c>
      <c r="H81">
        <v>70730</v>
      </c>
      <c r="I81" t="s">
        <v>21</v>
      </c>
      <c r="J81" t="s">
        <v>22</v>
      </c>
      <c r="K81" t="s">
        <v>23</v>
      </c>
      <c r="M81">
        <v>5</v>
      </c>
      <c r="N81">
        <v>2</v>
      </c>
    </row>
    <row r="82" spans="2:14" hidden="1"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40500040</v>
      </c>
      <c r="H82">
        <v>70728</v>
      </c>
      <c r="I82" t="s">
        <v>24</v>
      </c>
      <c r="J82" t="s">
        <v>22</v>
      </c>
      <c r="K82" t="s">
        <v>25</v>
      </c>
      <c r="M82">
        <v>2</v>
      </c>
      <c r="N82">
        <v>1</v>
      </c>
    </row>
    <row r="83" spans="2:14" hidden="1"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40500040</v>
      </c>
      <c r="H83">
        <v>70810</v>
      </c>
      <c r="I83" t="s">
        <v>26</v>
      </c>
      <c r="J83" t="s">
        <v>22</v>
      </c>
      <c r="K83" t="s">
        <v>27</v>
      </c>
      <c r="M83">
        <v>20</v>
      </c>
      <c r="N83">
        <v>6</v>
      </c>
    </row>
    <row r="84" spans="2:14" hidden="1"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>
        <v>40500040</v>
      </c>
      <c r="H84">
        <v>70740</v>
      </c>
      <c r="I84" t="s">
        <v>28</v>
      </c>
      <c r="J84" t="s">
        <v>22</v>
      </c>
      <c r="K84" t="s">
        <v>29</v>
      </c>
      <c r="M84">
        <v>3</v>
      </c>
      <c r="N84">
        <v>1</v>
      </c>
    </row>
    <row r="85" spans="2:14" hidden="1"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>
        <v>40500040</v>
      </c>
      <c r="H85">
        <v>78354</v>
      </c>
      <c r="I85" t="s">
        <v>30</v>
      </c>
      <c r="J85" t="s">
        <v>31</v>
      </c>
      <c r="K85" t="s">
        <v>32</v>
      </c>
      <c r="M85">
        <v>10</v>
      </c>
      <c r="N85">
        <v>2</v>
      </c>
    </row>
    <row r="86" spans="2:14">
      <c r="B86" t="s">
        <v>33</v>
      </c>
      <c r="C86" t="s">
        <v>224</v>
      </c>
      <c r="D86" t="s">
        <v>35</v>
      </c>
      <c r="E86" t="s">
        <v>19</v>
      </c>
      <c r="F86" t="s">
        <v>20</v>
      </c>
      <c r="G86">
        <v>40600037</v>
      </c>
      <c r="H86">
        <v>72932</v>
      </c>
      <c r="I86" s="52" t="s">
        <v>36</v>
      </c>
      <c r="J86" t="s">
        <v>37</v>
      </c>
      <c r="K86" t="s">
        <v>38</v>
      </c>
      <c r="M86">
        <v>5</v>
      </c>
      <c r="N86">
        <v>2</v>
      </c>
    </row>
    <row r="87" spans="2:14">
      <c r="B87" t="s">
        <v>33</v>
      </c>
      <c r="C87" t="s">
        <v>224</v>
      </c>
      <c r="D87" t="s">
        <v>35</v>
      </c>
      <c r="E87" t="s">
        <v>19</v>
      </c>
      <c r="F87" t="s">
        <v>20</v>
      </c>
      <c r="G87">
        <v>40600037</v>
      </c>
      <c r="H87">
        <v>72897</v>
      </c>
      <c r="I87" t="s">
        <v>39</v>
      </c>
      <c r="J87" t="s">
        <v>40</v>
      </c>
      <c r="K87" t="s">
        <v>41</v>
      </c>
      <c r="M87">
        <v>10</v>
      </c>
      <c r="N87">
        <v>2</v>
      </c>
    </row>
    <row r="88" spans="2:14">
      <c r="B88" t="s">
        <v>33</v>
      </c>
      <c r="C88" t="s">
        <v>224</v>
      </c>
      <c r="D88" t="s">
        <v>35</v>
      </c>
      <c r="E88" t="s">
        <v>19</v>
      </c>
      <c r="F88" t="s">
        <v>20</v>
      </c>
      <c r="G88">
        <v>40600037</v>
      </c>
      <c r="H88">
        <v>72543</v>
      </c>
      <c r="I88" t="s">
        <v>42</v>
      </c>
      <c r="J88" t="s">
        <v>43</v>
      </c>
      <c r="K88" t="s">
        <v>44</v>
      </c>
      <c r="M88">
        <v>50</v>
      </c>
      <c r="N88">
        <v>10</v>
      </c>
    </row>
    <row r="89" spans="2:14">
      <c r="B89" t="s">
        <v>33</v>
      </c>
      <c r="C89" t="s">
        <v>224</v>
      </c>
      <c r="D89" t="s">
        <v>35</v>
      </c>
      <c r="E89" t="s">
        <v>19</v>
      </c>
      <c r="F89" t="s">
        <v>20</v>
      </c>
      <c r="G89">
        <v>40600037</v>
      </c>
      <c r="H89">
        <v>72543</v>
      </c>
      <c r="I89" t="s">
        <v>46</v>
      </c>
      <c r="J89" t="s">
        <v>43</v>
      </c>
      <c r="K89" t="s">
        <v>47</v>
      </c>
      <c r="M89">
        <v>50</v>
      </c>
      <c r="N89">
        <v>10</v>
      </c>
    </row>
    <row r="90" spans="2:14">
      <c r="B90" t="s">
        <v>33</v>
      </c>
      <c r="C90" t="s">
        <v>224</v>
      </c>
      <c r="D90" t="s">
        <v>35</v>
      </c>
      <c r="E90" t="s">
        <v>19</v>
      </c>
      <c r="F90" t="s">
        <v>20</v>
      </c>
      <c r="G90">
        <v>40600037</v>
      </c>
      <c r="H90">
        <v>72867</v>
      </c>
      <c r="I90" t="s">
        <v>48</v>
      </c>
      <c r="J90" t="s">
        <v>43</v>
      </c>
      <c r="K90" t="s">
        <v>49</v>
      </c>
      <c r="M90">
        <v>10</v>
      </c>
      <c r="N90">
        <v>3</v>
      </c>
    </row>
    <row r="91" spans="2:14">
      <c r="B91" t="s">
        <v>33</v>
      </c>
      <c r="C91" t="s">
        <v>224</v>
      </c>
      <c r="D91" t="s">
        <v>35</v>
      </c>
      <c r="E91" t="s">
        <v>19</v>
      </c>
      <c r="F91" t="s">
        <v>20</v>
      </c>
      <c r="G91">
        <v>40600037</v>
      </c>
      <c r="H91">
        <v>72984</v>
      </c>
      <c r="I91" t="s">
        <v>50</v>
      </c>
      <c r="J91" t="s">
        <v>43</v>
      </c>
      <c r="K91" t="s">
        <v>51</v>
      </c>
      <c r="M91">
        <v>25</v>
      </c>
      <c r="N91">
        <v>5</v>
      </c>
    </row>
    <row r="92" spans="2:14">
      <c r="B92" t="s">
        <v>33</v>
      </c>
      <c r="C92" t="s">
        <v>224</v>
      </c>
      <c r="D92" t="s">
        <v>18</v>
      </c>
      <c r="E92" t="s">
        <v>19</v>
      </c>
      <c r="F92" t="s">
        <v>20</v>
      </c>
      <c r="G92">
        <v>40600037</v>
      </c>
      <c r="H92">
        <v>70730</v>
      </c>
      <c r="I92" t="s">
        <v>21</v>
      </c>
      <c r="J92" t="s">
        <v>22</v>
      </c>
      <c r="K92" t="s">
        <v>23</v>
      </c>
      <c r="M92">
        <v>3</v>
      </c>
      <c r="N92">
        <v>1</v>
      </c>
    </row>
    <row r="93" spans="2:14">
      <c r="B93" t="s">
        <v>33</v>
      </c>
      <c r="C93" t="s">
        <v>224</v>
      </c>
      <c r="D93" t="s">
        <v>18</v>
      </c>
      <c r="E93" t="s">
        <v>19</v>
      </c>
      <c r="F93" t="s">
        <v>20</v>
      </c>
      <c r="G93">
        <v>40600037</v>
      </c>
      <c r="H93">
        <v>70728</v>
      </c>
      <c r="I93" t="s">
        <v>24</v>
      </c>
      <c r="J93" t="s">
        <v>22</v>
      </c>
      <c r="K93" t="s">
        <v>25</v>
      </c>
      <c r="M93">
        <v>2</v>
      </c>
      <c r="N93">
        <v>1</v>
      </c>
    </row>
    <row r="94" spans="2:14">
      <c r="B94" t="s">
        <v>33</v>
      </c>
      <c r="C94" t="s">
        <v>224</v>
      </c>
      <c r="D94" t="s">
        <v>18</v>
      </c>
      <c r="E94" t="s">
        <v>19</v>
      </c>
      <c r="F94" t="s">
        <v>20</v>
      </c>
      <c r="G94">
        <v>40600037</v>
      </c>
      <c r="H94">
        <v>70810</v>
      </c>
      <c r="I94" t="s">
        <v>26</v>
      </c>
      <c r="J94" t="s">
        <v>22</v>
      </c>
      <c r="K94" t="s">
        <v>27</v>
      </c>
      <c r="M94">
        <v>10</v>
      </c>
      <c r="N94">
        <v>5</v>
      </c>
    </row>
    <row r="95" spans="2:14">
      <c r="B95" t="s">
        <v>33</v>
      </c>
      <c r="C95" t="s">
        <v>224</v>
      </c>
      <c r="D95" t="s">
        <v>18</v>
      </c>
      <c r="E95" t="s">
        <v>19</v>
      </c>
      <c r="F95" t="s">
        <v>20</v>
      </c>
      <c r="G95">
        <v>40600037</v>
      </c>
      <c r="H95">
        <v>70740</v>
      </c>
      <c r="I95" t="s">
        <v>28</v>
      </c>
      <c r="J95" t="s">
        <v>22</v>
      </c>
      <c r="K95" t="s">
        <v>29</v>
      </c>
      <c r="M95">
        <v>5</v>
      </c>
      <c r="N95">
        <v>2</v>
      </c>
    </row>
    <row r="96" spans="2:14">
      <c r="B96" t="s">
        <v>33</v>
      </c>
      <c r="C96" t="s">
        <v>224</v>
      </c>
      <c r="D96" t="s">
        <v>18</v>
      </c>
      <c r="E96" t="s">
        <v>19</v>
      </c>
      <c r="F96" t="s">
        <v>20</v>
      </c>
      <c r="G96">
        <v>40600037</v>
      </c>
      <c r="H96">
        <v>78354</v>
      </c>
      <c r="I96" t="s">
        <v>30</v>
      </c>
      <c r="J96" t="s">
        <v>31</v>
      </c>
      <c r="K96" t="s">
        <v>32</v>
      </c>
      <c r="M96">
        <v>10</v>
      </c>
      <c r="N96">
        <v>2</v>
      </c>
    </row>
  </sheetData>
  <autoFilter ref="B2:N96" xr:uid="{00000000-0001-0000-0000-000000000000}">
    <filterColumn colId="1">
      <filters>
        <filter val="Mayerly Forero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2150-BEC2-4056-86B7-C850FDCB2A8F}">
  <dimension ref="B2:D17"/>
  <sheetViews>
    <sheetView zoomScale="80" zoomScaleNormal="80" workbookViewId="0">
      <selection activeCell="B6" sqref="B6"/>
    </sheetView>
  </sheetViews>
  <sheetFormatPr baseColWidth="10" defaultColWidth="11.44140625" defaultRowHeight="14.4"/>
  <cols>
    <col min="1" max="1" width="2.5546875" customWidth="1"/>
    <col min="2" max="2" width="172.6640625" bestFit="1" customWidth="1"/>
    <col min="3" max="3" width="13.44140625" bestFit="1" customWidth="1"/>
    <col min="4" max="4" width="25.44140625" bestFit="1" customWidth="1"/>
  </cols>
  <sheetData>
    <row r="2" spans="2:4">
      <c r="B2" s="2" t="s">
        <v>213</v>
      </c>
      <c r="C2" t="s">
        <v>225</v>
      </c>
    </row>
    <row r="4" spans="2:4">
      <c r="B4" s="2" t="s">
        <v>226</v>
      </c>
      <c r="C4" t="s">
        <v>227</v>
      </c>
      <c r="D4" t="s">
        <v>228</v>
      </c>
    </row>
    <row r="5" spans="2:4">
      <c r="B5" s="1" t="s">
        <v>59</v>
      </c>
      <c r="C5" s="53">
        <v>1383</v>
      </c>
      <c r="D5" s="53">
        <v>461</v>
      </c>
    </row>
    <row r="6" spans="2:4">
      <c r="B6" s="3" t="s">
        <v>35</v>
      </c>
      <c r="C6" s="53">
        <v>656</v>
      </c>
      <c r="D6" s="53">
        <v>220</v>
      </c>
    </row>
    <row r="7" spans="2:4">
      <c r="B7" s="3" t="s">
        <v>18</v>
      </c>
      <c r="C7" s="53">
        <v>702</v>
      </c>
      <c r="D7" s="53">
        <v>231</v>
      </c>
    </row>
    <row r="8" spans="2:4">
      <c r="B8" s="3" t="s">
        <v>203</v>
      </c>
      <c r="C8" s="53">
        <v>25</v>
      </c>
      <c r="D8" s="53">
        <v>10</v>
      </c>
    </row>
    <row r="9" spans="2:4">
      <c r="B9" s="42" t="s">
        <v>210</v>
      </c>
      <c r="C9" s="53">
        <v>5</v>
      </c>
      <c r="D9" s="53">
        <v>2</v>
      </c>
    </row>
    <row r="10" spans="2:4">
      <c r="B10" s="42" t="s">
        <v>204</v>
      </c>
      <c r="C10" s="53">
        <v>5</v>
      </c>
      <c r="D10" s="53">
        <v>2</v>
      </c>
    </row>
    <row r="11" spans="2:4">
      <c r="B11" s="42" t="s">
        <v>212</v>
      </c>
      <c r="C11" s="53">
        <v>5</v>
      </c>
      <c r="D11" s="53">
        <v>2</v>
      </c>
    </row>
    <row r="12" spans="2:4">
      <c r="B12" s="42" t="s">
        <v>207</v>
      </c>
      <c r="C12" s="53">
        <v>5</v>
      </c>
      <c r="D12" s="53">
        <v>2</v>
      </c>
    </row>
    <row r="13" spans="2:4">
      <c r="B13" s="42" t="s">
        <v>209</v>
      </c>
      <c r="C13" s="53">
        <v>5</v>
      </c>
      <c r="D13" s="53">
        <v>2</v>
      </c>
    </row>
    <row r="14" spans="2:4">
      <c r="B14" s="1" t="s">
        <v>20</v>
      </c>
      <c r="C14" s="53">
        <v>220</v>
      </c>
      <c r="D14" s="53">
        <v>55</v>
      </c>
    </row>
    <row r="15" spans="2:4">
      <c r="B15" s="3" t="s">
        <v>35</v>
      </c>
      <c r="C15" s="53">
        <v>150</v>
      </c>
      <c r="D15" s="53">
        <v>32</v>
      </c>
    </row>
    <row r="16" spans="2:4">
      <c r="B16" s="3" t="s">
        <v>18</v>
      </c>
      <c r="C16" s="53">
        <v>70</v>
      </c>
      <c r="D16" s="53">
        <v>23</v>
      </c>
    </row>
    <row r="17" spans="2:4">
      <c r="B17" s="1" t="s">
        <v>229</v>
      </c>
      <c r="C17" s="53">
        <v>1603</v>
      </c>
      <c r="D17" s="53">
        <v>516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Inventario Procafecol</vt:lpstr>
      <vt:lpstr>Inventario ISIMO</vt:lpstr>
      <vt:lpstr>Inventario Alsea</vt:lpstr>
      <vt:lpstr>Inventario Arcos Dorados</vt:lpstr>
      <vt:lpstr>Inventario Consolidado</vt:lpstr>
      <vt:lpstr>Consolidado dinamico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Bohorquez Puentes</dc:creator>
  <cp:keywords/>
  <dc:description/>
  <cp:lastModifiedBy>wilson andres ortiz martinez</cp:lastModifiedBy>
  <cp:revision/>
  <dcterms:created xsi:type="dcterms:W3CDTF">2015-06-05T18:19:34Z</dcterms:created>
  <dcterms:modified xsi:type="dcterms:W3CDTF">2026-05-30T13:23:52Z</dcterms:modified>
  <cp:category/>
  <cp:contentStatus/>
</cp:coreProperties>
</file>